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Sandhya\OneDrive\Desktop\MS EXCEL\"/>
    </mc:Choice>
  </mc:AlternateContent>
  <xr:revisionPtr revIDLastSave="0" documentId="13_ncr:1_{AF88C727-B7A2-4AEE-9BBF-514C221C602A}" xr6:coauthVersionLast="47" xr6:coauthVersionMax="47" xr10:uidLastSave="{00000000-0000-0000-0000-000000000000}"/>
  <bookViews>
    <workbookView xWindow="-110" yWindow="-110" windowWidth="21820" windowHeight="14620" activeTab="2" xr2:uid="{00000000-000D-0000-FFFF-FFFF00000000}"/>
  </bookViews>
  <sheets>
    <sheet name="Sheet2" sheetId="6" r:id="rId1"/>
    <sheet name="Sheet3" sheetId="7" r:id="rId2"/>
    <sheet name="Sheet4" sheetId="8" r:id="rId3"/>
    <sheet name="Sheet5" sheetId="9" r:id="rId4"/>
  </sheets>
  <externalReferences>
    <externalReference r:id="rId5"/>
  </externalReferences>
  <definedNames>
    <definedName name="_xlnm._FilterDatabase" localSheetId="2" hidden="1">Sheet4!$A$1:$K$172</definedName>
    <definedName name="_xlchart.v1.0" hidden="1">Sheet3!$A$4:$A$11</definedName>
    <definedName name="_xlchart.v1.1" hidden="1">Sheet3!$E$4:$E$11</definedName>
    <definedName name="BOOST">[1]Sheet1!$A:$A</definedName>
    <definedName name="_xlnm.Criteria" localSheetId="2">Sheet4!$P$1:$Q$2</definedName>
    <definedName name="shoot">#REF!</definedName>
  </definedNames>
  <calcPr calcId="191029"/>
  <pivotCaches>
    <pivotCache cacheId="0" r:id="rId6"/>
  </pivotCaches>
</workbook>
</file>

<file path=xl/calcChain.xml><?xml version="1.0" encoding="utf-8"?>
<calcChain xmlns="http://schemas.openxmlformats.org/spreadsheetml/2006/main">
  <c r="C22" i="6" l="1"/>
  <c r="F178" i="8"/>
  <c r="F177" i="8"/>
  <c r="F176" i="8"/>
  <c r="H6" i="8"/>
  <c r="H12" i="8"/>
  <c r="H14" i="8"/>
  <c r="H22" i="8"/>
  <c r="H30" i="8"/>
  <c r="H46" i="8"/>
  <c r="H62" i="8"/>
  <c r="H70" i="8"/>
  <c r="H76" i="8"/>
  <c r="H78" i="8"/>
  <c r="H86" i="8"/>
  <c r="H94" i="8"/>
  <c r="H110" i="8"/>
  <c r="H126" i="8"/>
  <c r="H134" i="8"/>
  <c r="H140" i="8"/>
  <c r="H142" i="8"/>
  <c r="H150" i="8"/>
  <c r="H158" i="8"/>
  <c r="G3" i="8"/>
  <c r="H3" i="8" s="1"/>
  <c r="G4" i="8"/>
  <c r="H4" i="8" s="1"/>
  <c r="G5" i="8"/>
  <c r="H5" i="8" s="1"/>
  <c r="G6" i="8"/>
  <c r="G7" i="8"/>
  <c r="H7" i="8" s="1"/>
  <c r="G8" i="8"/>
  <c r="H8" i="8" s="1"/>
  <c r="G9" i="8"/>
  <c r="H9" i="8" s="1"/>
  <c r="G10" i="8"/>
  <c r="H10" i="8" s="1"/>
  <c r="G11" i="8"/>
  <c r="H11" i="8" s="1"/>
  <c r="G12" i="8"/>
  <c r="G13" i="8"/>
  <c r="H13" i="8" s="1"/>
  <c r="G14" i="8"/>
  <c r="G15" i="8"/>
  <c r="H15" i="8" s="1"/>
  <c r="G16" i="8"/>
  <c r="H16" i="8" s="1"/>
  <c r="G17" i="8"/>
  <c r="H17" i="8" s="1"/>
  <c r="G18" i="8"/>
  <c r="H18" i="8" s="1"/>
  <c r="G19" i="8"/>
  <c r="H19" i="8" s="1"/>
  <c r="G20" i="8"/>
  <c r="H20" i="8" s="1"/>
  <c r="G21" i="8"/>
  <c r="H21" i="8" s="1"/>
  <c r="G22" i="8"/>
  <c r="G23" i="8"/>
  <c r="H23" i="8" s="1"/>
  <c r="G24" i="8"/>
  <c r="H24" i="8" s="1"/>
  <c r="G25" i="8"/>
  <c r="H25" i="8" s="1"/>
  <c r="G26" i="8"/>
  <c r="H26" i="8" s="1"/>
  <c r="G27" i="8"/>
  <c r="H27" i="8" s="1"/>
  <c r="G28" i="8"/>
  <c r="H28" i="8" s="1"/>
  <c r="G29" i="8"/>
  <c r="H29" i="8" s="1"/>
  <c r="G30" i="8"/>
  <c r="G31" i="8"/>
  <c r="H31" i="8" s="1"/>
  <c r="G32" i="8"/>
  <c r="H32" i="8" s="1"/>
  <c r="G33" i="8"/>
  <c r="H33" i="8" s="1"/>
  <c r="G34" i="8"/>
  <c r="H34" i="8" s="1"/>
  <c r="G35" i="8"/>
  <c r="H35" i="8" s="1"/>
  <c r="G36" i="8"/>
  <c r="H36" i="8" s="1"/>
  <c r="G37" i="8"/>
  <c r="H37" i="8" s="1"/>
  <c r="G38" i="8"/>
  <c r="H38" i="8" s="1"/>
  <c r="G39" i="8"/>
  <c r="H39" i="8" s="1"/>
  <c r="G40" i="8"/>
  <c r="H40" i="8" s="1"/>
  <c r="G41" i="8"/>
  <c r="H41" i="8" s="1"/>
  <c r="G42" i="8"/>
  <c r="H42" i="8" s="1"/>
  <c r="G43" i="8"/>
  <c r="H43" i="8" s="1"/>
  <c r="G44" i="8"/>
  <c r="H44" i="8" s="1"/>
  <c r="G45" i="8"/>
  <c r="H45" i="8" s="1"/>
  <c r="G46" i="8"/>
  <c r="G47" i="8"/>
  <c r="H47" i="8" s="1"/>
  <c r="G48" i="8"/>
  <c r="H48" i="8" s="1"/>
  <c r="G49" i="8"/>
  <c r="H49" i="8" s="1"/>
  <c r="G50" i="8"/>
  <c r="H50" i="8" s="1"/>
  <c r="G51" i="8"/>
  <c r="H51" i="8" s="1"/>
  <c r="G52" i="8"/>
  <c r="H52" i="8" s="1"/>
  <c r="G53" i="8"/>
  <c r="H53" i="8" s="1"/>
  <c r="G54" i="8"/>
  <c r="H54" i="8" s="1"/>
  <c r="G55" i="8"/>
  <c r="H55" i="8" s="1"/>
  <c r="G56" i="8"/>
  <c r="H56" i="8" s="1"/>
  <c r="G57" i="8"/>
  <c r="H57" i="8" s="1"/>
  <c r="G58" i="8"/>
  <c r="H58" i="8" s="1"/>
  <c r="G59" i="8"/>
  <c r="H59" i="8" s="1"/>
  <c r="G60" i="8"/>
  <c r="H60" i="8" s="1"/>
  <c r="G61" i="8"/>
  <c r="H61" i="8" s="1"/>
  <c r="G62" i="8"/>
  <c r="G63" i="8"/>
  <c r="H63" i="8" s="1"/>
  <c r="G64" i="8"/>
  <c r="H64" i="8" s="1"/>
  <c r="G65" i="8"/>
  <c r="H65" i="8" s="1"/>
  <c r="G66" i="8"/>
  <c r="H66" i="8" s="1"/>
  <c r="G67" i="8"/>
  <c r="H67" i="8" s="1"/>
  <c r="G68" i="8"/>
  <c r="H68" i="8" s="1"/>
  <c r="G69" i="8"/>
  <c r="H69" i="8" s="1"/>
  <c r="G70" i="8"/>
  <c r="G71" i="8"/>
  <c r="H71" i="8" s="1"/>
  <c r="G72" i="8"/>
  <c r="H72" i="8" s="1"/>
  <c r="G73" i="8"/>
  <c r="H73" i="8" s="1"/>
  <c r="G74" i="8"/>
  <c r="H74" i="8" s="1"/>
  <c r="G75" i="8"/>
  <c r="H75" i="8" s="1"/>
  <c r="G76" i="8"/>
  <c r="G77" i="8"/>
  <c r="H77" i="8" s="1"/>
  <c r="G78" i="8"/>
  <c r="G79" i="8"/>
  <c r="H79" i="8" s="1"/>
  <c r="G80" i="8"/>
  <c r="H80" i="8" s="1"/>
  <c r="G81" i="8"/>
  <c r="H81" i="8" s="1"/>
  <c r="G82" i="8"/>
  <c r="H82" i="8" s="1"/>
  <c r="G83" i="8"/>
  <c r="H83" i="8" s="1"/>
  <c r="G84" i="8"/>
  <c r="H84" i="8" s="1"/>
  <c r="G85" i="8"/>
  <c r="H85" i="8" s="1"/>
  <c r="G86" i="8"/>
  <c r="G87" i="8"/>
  <c r="H87" i="8" s="1"/>
  <c r="G88" i="8"/>
  <c r="H88" i="8" s="1"/>
  <c r="G89" i="8"/>
  <c r="H89" i="8" s="1"/>
  <c r="G90" i="8"/>
  <c r="H90" i="8" s="1"/>
  <c r="G91" i="8"/>
  <c r="H91" i="8" s="1"/>
  <c r="G92" i="8"/>
  <c r="H92" i="8" s="1"/>
  <c r="G93" i="8"/>
  <c r="H93" i="8" s="1"/>
  <c r="G94" i="8"/>
  <c r="G95" i="8"/>
  <c r="H95" i="8" s="1"/>
  <c r="G96" i="8"/>
  <c r="H96" i="8" s="1"/>
  <c r="G97" i="8"/>
  <c r="H97" i="8" s="1"/>
  <c r="G98" i="8"/>
  <c r="H98" i="8" s="1"/>
  <c r="G99" i="8"/>
  <c r="H99" i="8" s="1"/>
  <c r="G100" i="8"/>
  <c r="H100" i="8" s="1"/>
  <c r="G101" i="8"/>
  <c r="H101" i="8" s="1"/>
  <c r="G102" i="8"/>
  <c r="H102" i="8" s="1"/>
  <c r="G103" i="8"/>
  <c r="H103" i="8" s="1"/>
  <c r="G104" i="8"/>
  <c r="H104" i="8" s="1"/>
  <c r="G105" i="8"/>
  <c r="H105" i="8" s="1"/>
  <c r="G106" i="8"/>
  <c r="H106" i="8" s="1"/>
  <c r="G107" i="8"/>
  <c r="H107" i="8" s="1"/>
  <c r="G108" i="8"/>
  <c r="H108" i="8" s="1"/>
  <c r="G109" i="8"/>
  <c r="H109" i="8" s="1"/>
  <c r="G110" i="8"/>
  <c r="G111" i="8"/>
  <c r="H111" i="8" s="1"/>
  <c r="G112" i="8"/>
  <c r="H112" i="8" s="1"/>
  <c r="G113" i="8"/>
  <c r="H113" i="8" s="1"/>
  <c r="G114" i="8"/>
  <c r="H114" i="8" s="1"/>
  <c r="G115" i="8"/>
  <c r="H115" i="8" s="1"/>
  <c r="G116" i="8"/>
  <c r="H116" i="8" s="1"/>
  <c r="G117" i="8"/>
  <c r="H117" i="8" s="1"/>
  <c r="G118" i="8"/>
  <c r="H118" i="8" s="1"/>
  <c r="G119" i="8"/>
  <c r="H119" i="8" s="1"/>
  <c r="G120" i="8"/>
  <c r="H120" i="8" s="1"/>
  <c r="G121" i="8"/>
  <c r="H121" i="8" s="1"/>
  <c r="G122" i="8"/>
  <c r="H122" i="8" s="1"/>
  <c r="G123" i="8"/>
  <c r="H123" i="8" s="1"/>
  <c r="G124" i="8"/>
  <c r="H124" i="8" s="1"/>
  <c r="G125" i="8"/>
  <c r="H125" i="8" s="1"/>
  <c r="G126" i="8"/>
  <c r="G127" i="8"/>
  <c r="H127" i="8" s="1"/>
  <c r="G128" i="8"/>
  <c r="H128" i="8" s="1"/>
  <c r="G129" i="8"/>
  <c r="H129" i="8" s="1"/>
  <c r="G130" i="8"/>
  <c r="H130" i="8" s="1"/>
  <c r="G131" i="8"/>
  <c r="H131" i="8" s="1"/>
  <c r="G132" i="8"/>
  <c r="H132" i="8" s="1"/>
  <c r="G133" i="8"/>
  <c r="H133" i="8" s="1"/>
  <c r="G134" i="8"/>
  <c r="G135" i="8"/>
  <c r="H135" i="8" s="1"/>
  <c r="G136" i="8"/>
  <c r="H136" i="8" s="1"/>
  <c r="G137" i="8"/>
  <c r="H137" i="8" s="1"/>
  <c r="G138" i="8"/>
  <c r="H138" i="8" s="1"/>
  <c r="G139" i="8"/>
  <c r="H139" i="8" s="1"/>
  <c r="G140" i="8"/>
  <c r="G141" i="8"/>
  <c r="H141" i="8" s="1"/>
  <c r="G142" i="8"/>
  <c r="G143" i="8"/>
  <c r="H143" i="8" s="1"/>
  <c r="G144" i="8"/>
  <c r="H144" i="8" s="1"/>
  <c r="G145" i="8"/>
  <c r="H145" i="8" s="1"/>
  <c r="G146" i="8"/>
  <c r="H146" i="8" s="1"/>
  <c r="G147" i="8"/>
  <c r="H147" i="8" s="1"/>
  <c r="G148" i="8"/>
  <c r="H148" i="8" s="1"/>
  <c r="G149" i="8"/>
  <c r="H149" i="8" s="1"/>
  <c r="G150" i="8"/>
  <c r="G151" i="8"/>
  <c r="H151" i="8" s="1"/>
  <c r="G152" i="8"/>
  <c r="H152" i="8" s="1"/>
  <c r="G153" i="8"/>
  <c r="H153" i="8" s="1"/>
  <c r="G154" i="8"/>
  <c r="H154" i="8" s="1"/>
  <c r="G155" i="8"/>
  <c r="H155" i="8" s="1"/>
  <c r="G156" i="8"/>
  <c r="H156" i="8" s="1"/>
  <c r="G157" i="8"/>
  <c r="H157" i="8" s="1"/>
  <c r="G158" i="8"/>
  <c r="G159" i="8"/>
  <c r="H159" i="8" s="1"/>
  <c r="G160" i="8"/>
  <c r="H160" i="8" s="1"/>
  <c r="G161" i="8"/>
  <c r="H161" i="8" s="1"/>
  <c r="G162" i="8"/>
  <c r="H162" i="8" s="1"/>
  <c r="G163" i="8"/>
  <c r="H163" i="8" s="1"/>
  <c r="G164" i="8"/>
  <c r="H164" i="8" s="1"/>
  <c r="G165" i="8"/>
  <c r="H165" i="8" s="1"/>
  <c r="G166" i="8"/>
  <c r="H166" i="8" s="1"/>
  <c r="G167" i="8"/>
  <c r="H167" i="8" s="1"/>
  <c r="G168" i="8"/>
  <c r="H168" i="8" s="1"/>
  <c r="G169" i="8"/>
  <c r="H169" i="8" s="1"/>
  <c r="G170" i="8"/>
  <c r="H170" i="8" s="1"/>
  <c r="G171" i="8"/>
  <c r="H171" i="8" s="1"/>
  <c r="G172" i="8"/>
  <c r="H172" i="8" s="1"/>
  <c r="G2" i="8"/>
  <c r="H2" i="8" s="1"/>
  <c r="N5" i="7"/>
  <c r="N6" i="7"/>
  <c r="N7" i="7"/>
  <c r="N8" i="7"/>
  <c r="N9" i="7"/>
  <c r="N10" i="7"/>
  <c r="N11" i="7"/>
  <c r="N4" i="7"/>
  <c r="J4" i="7"/>
  <c r="K4" i="7"/>
  <c r="L4" i="7"/>
  <c r="J5" i="7"/>
  <c r="K5" i="7"/>
  <c r="L5" i="7"/>
  <c r="J6" i="7"/>
  <c r="K6" i="7"/>
  <c r="L6" i="7"/>
  <c r="J7" i="7"/>
  <c r="K7" i="7"/>
  <c r="L7" i="7"/>
  <c r="J8" i="7"/>
  <c r="K8" i="7"/>
  <c r="L8" i="7"/>
  <c r="J9" i="7"/>
  <c r="K9" i="7"/>
  <c r="L9" i="7"/>
  <c r="J10" i="7"/>
  <c r="K10" i="7"/>
  <c r="L10" i="7"/>
  <c r="J11" i="7"/>
  <c r="K11" i="7"/>
  <c r="L11" i="7"/>
  <c r="I5" i="7"/>
  <c r="I6" i="7"/>
  <c r="I7" i="7"/>
  <c r="I8" i="7"/>
  <c r="I9" i="7"/>
  <c r="I10" i="7"/>
  <c r="I11" i="7"/>
  <c r="I4" i="7"/>
  <c r="AB22" i="6"/>
  <c r="AB24" i="6"/>
  <c r="W22" i="6"/>
  <c r="T23" i="6"/>
  <c r="U23" i="6"/>
  <c r="W24" i="6"/>
  <c r="T25" i="6"/>
  <c r="U25" i="6"/>
  <c r="O22" i="6"/>
  <c r="P22" i="6"/>
  <c r="Q22" i="6"/>
  <c r="R22" i="6"/>
  <c r="O23" i="6"/>
  <c r="P23" i="6"/>
  <c r="O24" i="6"/>
  <c r="P24" i="6"/>
  <c r="Q24" i="6"/>
  <c r="R24" i="6"/>
  <c r="O25" i="6"/>
  <c r="P25" i="6"/>
  <c r="J22" i="6"/>
  <c r="K22" i="6"/>
  <c r="L22" i="6"/>
  <c r="M22" i="6"/>
  <c r="J23" i="6"/>
  <c r="K23" i="6"/>
  <c r="L23" i="6"/>
  <c r="M23" i="6"/>
  <c r="J24" i="6"/>
  <c r="K24" i="6"/>
  <c r="L24" i="6"/>
  <c r="M24" i="6"/>
  <c r="J25" i="6"/>
  <c r="K25" i="6"/>
  <c r="L25" i="6"/>
  <c r="M25" i="6"/>
  <c r="F22" i="6"/>
  <c r="G22" i="6"/>
  <c r="H22" i="6"/>
  <c r="F23" i="6"/>
  <c r="G23" i="6"/>
  <c r="H23" i="6"/>
  <c r="F24" i="6"/>
  <c r="G24" i="6"/>
  <c r="H24" i="6"/>
  <c r="F25" i="6"/>
  <c r="G25" i="6"/>
  <c r="H25" i="6"/>
  <c r="E22" i="6"/>
  <c r="E23" i="6"/>
  <c r="E24" i="6"/>
  <c r="E25" i="6"/>
  <c r="D23" i="6"/>
  <c r="D24" i="6"/>
  <c r="D25" i="6"/>
  <c r="Y3" i="6"/>
  <c r="Z3" i="6"/>
  <c r="AA3" i="6"/>
  <c r="AB3" i="6"/>
  <c r="Y4" i="6"/>
  <c r="Z4" i="6"/>
  <c r="AA4" i="6"/>
  <c r="AB4" i="6"/>
  <c r="Y5" i="6"/>
  <c r="Z5" i="6"/>
  <c r="AA5" i="6"/>
  <c r="AB5" i="6"/>
  <c r="Y6" i="6"/>
  <c r="Z6" i="6"/>
  <c r="AA6" i="6"/>
  <c r="AB6" i="6"/>
  <c r="Y7" i="6"/>
  <c r="Z7" i="6"/>
  <c r="AA7" i="6"/>
  <c r="AB7" i="6"/>
  <c r="Y8" i="6"/>
  <c r="Z8" i="6"/>
  <c r="AA8" i="6"/>
  <c r="AB8" i="6"/>
  <c r="Y9" i="6"/>
  <c r="Z9" i="6"/>
  <c r="AA9" i="6"/>
  <c r="AB9" i="6"/>
  <c r="AB10" i="6"/>
  <c r="AB23" i="6" s="1"/>
  <c r="X4" i="6"/>
  <c r="X5" i="6"/>
  <c r="X6" i="6"/>
  <c r="X7" i="6"/>
  <c r="X8" i="6"/>
  <c r="X9" i="6"/>
  <c r="X3" i="6"/>
  <c r="Z2" i="6"/>
  <c r="AA2" i="6"/>
  <c r="AB2" i="6"/>
  <c r="Y2" i="6"/>
  <c r="S3" i="6"/>
  <c r="T3" i="6"/>
  <c r="U3" i="6"/>
  <c r="V3" i="6"/>
  <c r="W3" i="6"/>
  <c r="T4" i="6"/>
  <c r="U4" i="6"/>
  <c r="V4" i="6"/>
  <c r="W4" i="6"/>
  <c r="T5" i="6"/>
  <c r="U5" i="6"/>
  <c r="V5" i="6"/>
  <c r="W5" i="6"/>
  <c r="T6" i="6"/>
  <c r="U6" i="6"/>
  <c r="V6" i="6"/>
  <c r="W6" i="6"/>
  <c r="T7" i="6"/>
  <c r="U7" i="6"/>
  <c r="V7" i="6"/>
  <c r="W7" i="6"/>
  <c r="T8" i="6"/>
  <c r="U8" i="6"/>
  <c r="V8" i="6"/>
  <c r="W8" i="6"/>
  <c r="T9" i="6"/>
  <c r="U9" i="6"/>
  <c r="V9" i="6"/>
  <c r="W9" i="6"/>
  <c r="T10" i="6"/>
  <c r="T22" i="6" s="1"/>
  <c r="U10" i="6"/>
  <c r="U22" i="6" s="1"/>
  <c r="V10" i="6"/>
  <c r="V23" i="6" s="1"/>
  <c r="W10" i="6"/>
  <c r="W23" i="6" s="1"/>
  <c r="Q10" i="6"/>
  <c r="Q23" i="6" s="1"/>
  <c r="S4" i="6"/>
  <c r="S5" i="6"/>
  <c r="S6" i="6"/>
  <c r="S7" i="6"/>
  <c r="S8" i="6"/>
  <c r="S9" i="6"/>
  <c r="U2" i="6"/>
  <c r="V2" i="6"/>
  <c r="W2" i="6"/>
  <c r="T2" i="6"/>
  <c r="O5" i="6"/>
  <c r="P5" i="6"/>
  <c r="Q5" i="6"/>
  <c r="R5" i="6"/>
  <c r="O6" i="6"/>
  <c r="P6" i="6"/>
  <c r="Q6" i="6"/>
  <c r="R6" i="6"/>
  <c r="O7" i="6"/>
  <c r="P7" i="6"/>
  <c r="Q7" i="6"/>
  <c r="R7" i="6"/>
  <c r="O8" i="6"/>
  <c r="P8" i="6"/>
  <c r="Q8" i="6"/>
  <c r="R8" i="6"/>
  <c r="O9" i="6"/>
  <c r="P9" i="6"/>
  <c r="Q9" i="6"/>
  <c r="R9" i="6"/>
  <c r="O10" i="6"/>
  <c r="Y10" i="6" s="1"/>
  <c r="P10" i="6"/>
  <c r="R10" i="6"/>
  <c r="R23" i="6" s="1"/>
  <c r="N6" i="6"/>
  <c r="N7" i="6"/>
  <c r="N8" i="6"/>
  <c r="N9" i="6"/>
  <c r="N10" i="6"/>
  <c r="O4" i="6"/>
  <c r="P4" i="6"/>
  <c r="Q4" i="6"/>
  <c r="R4" i="6"/>
  <c r="O3" i="6"/>
  <c r="P3" i="6"/>
  <c r="Q3" i="6"/>
  <c r="R3" i="6"/>
  <c r="N4" i="6"/>
  <c r="N5" i="6"/>
  <c r="N3" i="6"/>
  <c r="O2" i="6"/>
  <c r="P2" i="6" s="1"/>
  <c r="Q2" i="6" s="1"/>
  <c r="R2" i="6" s="1"/>
  <c r="J2" i="6"/>
  <c r="K2" i="6" s="1"/>
  <c r="L2" i="6" s="1"/>
  <c r="M2" i="6" s="1"/>
  <c r="E2" i="6"/>
  <c r="F2" i="6" s="1"/>
  <c r="G2" i="6" s="1"/>
  <c r="H2" i="6" s="1"/>
  <c r="I3" i="6"/>
  <c r="D22" i="6"/>
  <c r="C25" i="6"/>
  <c r="C24" i="6"/>
  <c r="C23" i="6"/>
  <c r="I4" i="6"/>
  <c r="I5" i="6"/>
  <c r="I6" i="6"/>
  <c r="I7" i="6"/>
  <c r="I8" i="6"/>
  <c r="I9" i="6"/>
  <c r="I10" i="6"/>
  <c r="S10" i="6" s="1"/>
  <c r="Y22" i="6" l="1"/>
  <c r="Y23" i="6"/>
  <c r="Y24" i="6"/>
  <c r="Y25" i="6"/>
  <c r="V24" i="6"/>
  <c r="AA10" i="6"/>
  <c r="U24" i="6"/>
  <c r="Z10" i="6"/>
  <c r="T24" i="6"/>
  <c r="R25" i="6"/>
  <c r="W25" i="6"/>
  <c r="AB25" i="6"/>
  <c r="V22" i="6"/>
  <c r="Q25" i="6"/>
  <c r="V25" i="6"/>
  <c r="X10" i="6"/>
  <c r="N25" i="6"/>
  <c r="N22" i="6"/>
  <c r="N23" i="6"/>
  <c r="N24" i="6"/>
  <c r="I25" i="6"/>
  <c r="I22" i="6"/>
  <c r="I23" i="6"/>
  <c r="I24" i="6"/>
  <c r="AA23" i="6" l="1"/>
  <c r="AA25" i="6"/>
  <c r="AA24" i="6"/>
  <c r="AA22" i="6"/>
  <c r="Z22" i="6"/>
  <c r="Z23" i="6"/>
  <c r="Z24" i="6"/>
  <c r="Z25" i="6"/>
  <c r="S25" i="6"/>
  <c r="S22" i="6"/>
  <c r="S24" i="6"/>
  <c r="S23" i="6"/>
  <c r="X24" i="6" l="1"/>
  <c r="X22" i="6"/>
  <c r="X23" i="6"/>
  <c r="X25" i="6"/>
</calcChain>
</file>

<file path=xl/sharedStrings.xml><?xml version="1.0" encoding="utf-8"?>
<sst xmlns="http://schemas.openxmlformats.org/spreadsheetml/2006/main" count="957" uniqueCount="108">
  <si>
    <t>Akshaya  Ommi</t>
  </si>
  <si>
    <t>Kaki Surya Kavya</t>
  </si>
  <si>
    <t>Chandrika Lahari Gondesi</t>
  </si>
  <si>
    <t>Shalini  Malladi</t>
  </si>
  <si>
    <t>Polamarasetty Swathi Swarna Latha</t>
  </si>
  <si>
    <t>Srinidhi  Gontu</t>
  </si>
  <si>
    <t>Nikkat Of Afrin</t>
  </si>
  <si>
    <t>Jaya Sree  Bommidi</t>
  </si>
  <si>
    <t>akshayaommi@gmail.com</t>
  </si>
  <si>
    <t>kakikavya656@gmail.com</t>
  </si>
  <si>
    <t>chandrikareddy1304@gmail.com</t>
  </si>
  <si>
    <t>shalinishaza@gmail.com</t>
  </si>
  <si>
    <t>swarnapolamarasetty@gmail.com</t>
  </si>
  <si>
    <t>srinidhigontu@gmail.com</t>
  </si>
  <si>
    <t>afrinnikkat2002@gmail.com</t>
  </si>
  <si>
    <t>jayasreebommidi30@gmail.com</t>
  </si>
  <si>
    <t>Grand Total</t>
  </si>
  <si>
    <t>FULL NAME</t>
  </si>
  <si>
    <t>EMAIL ID</t>
  </si>
  <si>
    <t>HOURLY PAY</t>
  </si>
  <si>
    <t>HOURS WORKED</t>
  </si>
  <si>
    <t>TOTAL PAY</t>
  </si>
  <si>
    <t>MAX</t>
  </si>
  <si>
    <t>MIN</t>
  </si>
  <si>
    <t>AVERAGE</t>
  </si>
  <si>
    <t>TOTAL</t>
  </si>
  <si>
    <t>OVERTIME</t>
  </si>
  <si>
    <t>BONUS</t>
  </si>
  <si>
    <t>TOTAL PAY +BONUS</t>
  </si>
  <si>
    <t>Grades Sheet</t>
  </si>
  <si>
    <t>Safety Test</t>
  </si>
  <si>
    <t>Philosophy Test</t>
  </si>
  <si>
    <t>Financial Test</t>
  </si>
  <si>
    <t>Drugs Test</t>
  </si>
  <si>
    <t>POINTS</t>
  </si>
  <si>
    <t>FIRE EMPLOYEE ?</t>
  </si>
  <si>
    <t>Month</t>
  </si>
  <si>
    <t>Transaction Number</t>
  </si>
  <si>
    <t>Product Code</t>
  </si>
  <si>
    <t>Product Description</t>
  </si>
  <si>
    <t>Store Cost</t>
  </si>
  <si>
    <t>Sale Price</t>
  </si>
  <si>
    <t>Profit</t>
  </si>
  <si>
    <t>Sale Location</t>
  </si>
  <si>
    <t>Jan</t>
  </si>
  <si>
    <t>Pool Cover</t>
  </si>
  <si>
    <t>NM</t>
  </si>
  <si>
    <t>Net</t>
  </si>
  <si>
    <t>CA</t>
  </si>
  <si>
    <t>8 ft Hose</t>
  </si>
  <si>
    <t>AZ</t>
  </si>
  <si>
    <t>Water Pump</t>
  </si>
  <si>
    <t>Chlorine Test Kit</t>
  </si>
  <si>
    <t>CO</t>
  </si>
  <si>
    <t>Skimmer</t>
  </si>
  <si>
    <t>1 Gal Muratic Acid</t>
  </si>
  <si>
    <t>Feb</t>
  </si>
  <si>
    <t>AutoVac</t>
  </si>
  <si>
    <t>NV</t>
  </si>
  <si>
    <t>UT</t>
  </si>
  <si>
    <t>Algea Killer 8 oz</t>
  </si>
  <si>
    <t>Mar</t>
  </si>
  <si>
    <t>5 Gal Chlorine</t>
  </si>
  <si>
    <t>April</t>
  </si>
  <si>
    <t>May</t>
  </si>
  <si>
    <t>June</t>
  </si>
  <si>
    <t>July</t>
  </si>
  <si>
    <t>Aug</t>
  </si>
  <si>
    <t>Sept</t>
  </si>
  <si>
    <t>Oct</t>
  </si>
  <si>
    <t>Nov</t>
  </si>
  <si>
    <t>Dec</t>
  </si>
  <si>
    <t>Sales</t>
  </si>
  <si>
    <t>Person</t>
  </si>
  <si>
    <t>Chalie</t>
  </si>
  <si>
    <t>Barns</t>
  </si>
  <si>
    <t>Juan</t>
  </si>
  <si>
    <t>Hernandez</t>
  </si>
  <si>
    <t>Doug</t>
  </si>
  <si>
    <t>Smith</t>
  </si>
  <si>
    <t>Hellen</t>
  </si>
  <si>
    <t>Johnson</t>
  </si>
  <si>
    <t>Commision 10% for items less than $50and  20% for items ,more than 20%</t>
  </si>
  <si>
    <t>sum of all the sales price</t>
  </si>
  <si>
    <t>sum of all the sales price which are greater than 50</t>
  </si>
  <si>
    <t>sum of all the sales price which are less or eqaul to 5.0</t>
  </si>
  <si>
    <t>Row Labels</t>
  </si>
  <si>
    <t>Sum of Commision 10% for items less than $50and  20% for items ,more than 20%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</si>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</sst>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&quot;₹&quot;\ #,##0.00;[Red]&quot;₹&quot;\ #,##0.00"/>
    <numFmt numFmtId="165" formatCode="_(* #,##0_);_(* \(#,##0\);_(* &quot;-&quot;??_);_(@_)"/>
    <numFmt numFmtId="166" formatCode="_-[$$-409]* #,##0.00_ ;_-[$$-409]* \-#,##0.00\ ;_-[$$-409]* &quot;-&quot;??_ ;_-@_ "/>
  </numFmts>
  <fonts count="8">
    <font>
      <sz val="9"/>
      <color rgb="FF00000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Arial"/>
      <family val="2"/>
    </font>
    <font>
      <sz val="9"/>
      <color rgb="FF000000"/>
      <name val="Verdana"/>
      <family val="2"/>
    </font>
    <font>
      <sz val="9"/>
      <color rgb="FF000000"/>
      <name val="Verdana"/>
      <family val="2"/>
    </font>
    <font>
      <sz val="12"/>
      <color theme="1"/>
      <name val="Calibri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3" fillId="0" borderId="0"/>
    <xf numFmtId="0" fontId="1" fillId="0" borderId="0"/>
    <xf numFmtId="9" fontId="5" fillId="0" borderId="0" applyFont="0" applyFill="0" applyBorder="0" applyAlignment="0" applyProtection="0"/>
    <xf numFmtId="0" fontId="7" fillId="0" borderId="0"/>
    <xf numFmtId="43" fontId="3" fillId="0" borderId="0" applyFont="0" applyFill="0" applyBorder="0" applyAlignment="0" applyProtection="0"/>
  </cellStyleXfs>
  <cellXfs count="27">
    <xf numFmtId="0" fontId="0" fillId="0" borderId="0" xfId="0"/>
    <xf numFmtId="0" fontId="4" fillId="0" borderId="1" xfId="0" applyFont="1" applyBorder="1" applyAlignment="1">
      <alignment horizontal="left" vertical="center"/>
    </xf>
    <xf numFmtId="0" fontId="4" fillId="0" borderId="1" xfId="2" applyFont="1" applyBorder="1" applyAlignment="1">
      <alignment horizontal="left" vertical="center"/>
    </xf>
    <xf numFmtId="164" fontId="0" fillId="0" borderId="0" xfId="0" applyNumberFormat="1"/>
    <xf numFmtId="0" fontId="6" fillId="0" borderId="0" xfId="0" applyFont="1"/>
    <xf numFmtId="16" fontId="0" fillId="2" borderId="0" xfId="0" applyNumberFormat="1" applyFill="1"/>
    <xf numFmtId="0" fontId="0" fillId="2" borderId="0" xfId="0" applyFill="1"/>
    <xf numFmtId="16" fontId="0" fillId="3" borderId="0" xfId="0" applyNumberFormat="1" applyFill="1"/>
    <xf numFmtId="0" fontId="0" fillId="3" borderId="0" xfId="0" applyFill="1"/>
    <xf numFmtId="16" fontId="0" fillId="4" borderId="0" xfId="0" applyNumberFormat="1" applyFill="1"/>
    <xf numFmtId="164" fontId="0" fillId="4" borderId="0" xfId="0" applyNumberFormat="1" applyFill="1"/>
    <xf numFmtId="16" fontId="0" fillId="5" borderId="0" xfId="0" applyNumberFormat="1" applyFill="1"/>
    <xf numFmtId="164" fontId="0" fillId="5" borderId="0" xfId="0" applyNumberFormat="1" applyFill="1"/>
    <xf numFmtId="16" fontId="0" fillId="6" borderId="0" xfId="0" applyNumberFormat="1" applyFill="1"/>
    <xf numFmtId="164" fontId="0" fillId="6" borderId="0" xfId="0" applyNumberFormat="1" applyFill="1"/>
    <xf numFmtId="0" fontId="0" fillId="0" borderId="0" xfId="0" applyAlignment="1">
      <alignment textRotation="45"/>
    </xf>
    <xf numFmtId="9" fontId="0" fillId="0" borderId="0" xfId="4" applyFont="1"/>
    <xf numFmtId="0" fontId="0" fillId="0" borderId="0" xfId="0" applyAlignment="1">
      <alignment horizontal="left"/>
    </xf>
    <xf numFmtId="0" fontId="0" fillId="0" borderId="0" xfId="0" pivotButton="1"/>
    <xf numFmtId="166" fontId="0" fillId="0" borderId="0" xfId="0" applyNumberFormat="1"/>
    <xf numFmtId="166" fontId="7" fillId="0" borderId="0" xfId="5" applyNumberFormat="1" applyAlignment="1">
      <alignment wrapText="1"/>
    </xf>
    <xf numFmtId="166" fontId="7" fillId="0" borderId="0" xfId="5" applyNumberFormat="1"/>
    <xf numFmtId="0" fontId="0" fillId="0" borderId="0" xfId="0" applyAlignment="1">
      <alignment wrapText="1"/>
    </xf>
    <xf numFmtId="0" fontId="7" fillId="0" borderId="0" xfId="5" applyAlignment="1">
      <alignment wrapText="1"/>
    </xf>
    <xf numFmtId="0" fontId="7" fillId="0" borderId="0" xfId="5"/>
    <xf numFmtId="14" fontId="7" fillId="0" borderId="0" xfId="6" applyNumberFormat="1" applyFont="1"/>
    <xf numFmtId="165" fontId="7" fillId="0" borderId="0" xfId="6" applyNumberFormat="1" applyFont="1"/>
  </cellXfs>
  <cellStyles count="7">
    <cellStyle name="Comma 2" xfId="6" xr:uid="{AF073395-9B03-40B7-8D8E-8187FD79AEDE}"/>
    <cellStyle name="Normal" xfId="0" builtinId="0"/>
    <cellStyle name="Normal 2" xfId="2" xr:uid="{00000000-0005-0000-0000-000001000000}"/>
    <cellStyle name="Normal 3" xfId="1" xr:uid="{00000000-0005-0000-0000-000002000000}"/>
    <cellStyle name="Normal 4" xfId="3" xr:uid="{00000000-0005-0000-0000-000003000000}"/>
    <cellStyle name="Normal 5" xfId="5" xr:uid="{37BD03D6-C2D9-410F-8636-EE92442E49A0}"/>
    <cellStyle name="Percent" xfId="4" builtinId="5"/>
  </cellStyles>
  <dxfs count="33">
    <dxf>
      <fill>
        <patternFill patternType="solid">
          <fgColor indexed="64"/>
          <bgColor rgb="FFFFC000"/>
        </patternFill>
      </fill>
    </dxf>
    <dxf>
      <numFmt numFmtId="164" formatCode="&quot;₹&quot;\ #,##0.00;[Red]&quot;₹&quot;\ #,##0.00"/>
      <fill>
        <patternFill patternType="solid">
          <fgColor indexed="64"/>
          <bgColor rgb="FFFFC000"/>
        </patternFill>
      </fill>
    </dxf>
    <dxf>
      <numFmt numFmtId="164" formatCode="&quot;₹&quot;\ #,##0.00;[Red]&quot;₹&quot;\ #,##0.00"/>
      <fill>
        <patternFill patternType="solid">
          <fgColor indexed="64"/>
          <bgColor rgb="FFFFC000"/>
        </patternFill>
      </fill>
    </dxf>
    <dxf>
      <numFmt numFmtId="164" formatCode="&quot;₹&quot;\ #,##0.00;[Red]&quot;₹&quot;\ #,##0.00"/>
      <fill>
        <patternFill patternType="solid">
          <fgColor indexed="64"/>
          <bgColor rgb="FFFFC000"/>
        </patternFill>
      </fill>
    </dxf>
    <dxf>
      <numFmt numFmtId="164" formatCode="&quot;₹&quot;\ #,##0.00;[Red]&quot;₹&quot;\ #,##0.00"/>
      <fill>
        <patternFill patternType="solid">
          <fgColor indexed="64"/>
          <bgColor rgb="FFFFC000"/>
        </patternFill>
      </fill>
    </dxf>
    <dxf>
      <numFmt numFmtId="164" formatCode="&quot;₹&quot;\ #,##0.00;[Red]&quot;₹&quot;\ #,##0.00"/>
      <fill>
        <patternFill patternType="solid">
          <fgColor indexed="64"/>
          <bgColor rgb="FFFFC000"/>
        </patternFill>
      </fill>
    </dxf>
    <dxf>
      <numFmt numFmtId="164" formatCode="&quot;₹&quot;\ #,##0.00;[Red]&quot;₹&quot;\ #,##0.00"/>
      <fill>
        <patternFill patternType="solid">
          <fgColor indexed="64"/>
          <bgColor theme="4" tint="0.59999389629810485"/>
        </patternFill>
      </fill>
    </dxf>
    <dxf>
      <numFmt numFmtId="164" formatCode="&quot;₹&quot;\ #,##0.00;[Red]&quot;₹&quot;\ #,##0.00"/>
      <fill>
        <patternFill patternType="solid">
          <fgColor indexed="64"/>
          <bgColor theme="4" tint="0.59999389629810485"/>
        </patternFill>
      </fill>
    </dxf>
    <dxf>
      <numFmt numFmtId="164" formatCode="&quot;₹&quot;\ #,##0.00;[Red]&quot;₹&quot;\ #,##0.00"/>
      <fill>
        <patternFill patternType="solid">
          <fgColor indexed="64"/>
          <bgColor theme="4" tint="0.59999389629810485"/>
        </patternFill>
      </fill>
    </dxf>
    <dxf>
      <numFmt numFmtId="164" formatCode="&quot;₹&quot;\ #,##0.00;[Red]&quot;₹&quot;\ #,##0.00"/>
      <fill>
        <patternFill patternType="solid">
          <fgColor indexed="64"/>
          <bgColor theme="4" tint="0.59999389629810485"/>
        </patternFill>
      </fill>
    </dxf>
    <dxf>
      <numFmt numFmtId="164" formatCode="&quot;₹&quot;\ #,##0.00;[Red]&quot;₹&quot;\ #,##0.00"/>
      <fill>
        <patternFill patternType="solid">
          <fgColor indexed="64"/>
          <bgColor theme="4" tint="0.59999389629810485"/>
        </patternFill>
      </fill>
    </dxf>
    <dxf>
      <numFmt numFmtId="164" formatCode="&quot;₹&quot;\ #,##0.00;[Red]&quot;₹&quot;\ #,##0.00"/>
      <fill>
        <patternFill patternType="solid">
          <fgColor indexed="64"/>
          <bgColor theme="9" tint="0.39997558519241921"/>
        </patternFill>
      </fill>
    </dxf>
    <dxf>
      <numFmt numFmtId="164" formatCode="&quot;₹&quot;\ #,##0.00;[Red]&quot;₹&quot;\ #,##0.00"/>
      <fill>
        <patternFill patternType="solid">
          <fgColor indexed="64"/>
          <bgColor theme="9" tint="0.39997558519241921"/>
        </patternFill>
      </fill>
    </dxf>
    <dxf>
      <numFmt numFmtId="164" formatCode="&quot;₹&quot;\ #,##0.00;[Red]&quot;₹&quot;\ #,##0.00"/>
      <fill>
        <patternFill patternType="solid">
          <fgColor indexed="64"/>
          <bgColor theme="9" tint="0.39997558519241921"/>
        </patternFill>
      </fill>
    </dxf>
    <dxf>
      <numFmt numFmtId="164" formatCode="&quot;₹&quot;\ #,##0.00;[Red]&quot;₹&quot;\ #,##0.00"/>
      <fill>
        <patternFill patternType="solid">
          <fgColor indexed="64"/>
          <bgColor theme="9" tint="0.39997558519241921"/>
        </patternFill>
      </fill>
    </dxf>
    <dxf>
      <numFmt numFmtId="164" formatCode="&quot;₹&quot;\ #,##0.00;[Red]&quot;₹&quot;\ #,##0.00"/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2" tint="-0.14999847407452621"/>
        </patternFill>
      </fill>
    </dxf>
    <dxf>
      <fill>
        <patternFill patternType="solid">
          <fgColor indexed="64"/>
          <bgColor theme="2" tint="-0.14999847407452621"/>
        </patternFill>
      </fill>
    </dxf>
    <dxf>
      <fill>
        <patternFill patternType="solid">
          <fgColor indexed="64"/>
          <bgColor theme="2" tint="-0.14999847407452621"/>
        </patternFill>
      </fill>
    </dxf>
    <dxf>
      <fill>
        <patternFill patternType="solid">
          <fgColor indexed="64"/>
          <bgColor theme="2" tint="-0.14999847407452621"/>
        </patternFill>
      </fill>
    </dxf>
    <dxf>
      <fill>
        <patternFill patternType="solid">
          <fgColor indexed="64"/>
          <bgColor theme="2" tint="-0.1499984740745262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164" formatCode="&quot;₹&quot;\ #,##0.00;[Red]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 SAFETY TEST</a:t>
            </a:r>
          </a:p>
        </c:rich>
      </c:tx>
      <c:layout>
        <c:manualLayout>
          <c:xMode val="edge"/>
          <c:yMode val="edge"/>
          <c:x val="0.30949300087489062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Sheet3!$A$4:$A$11</c:f>
              <c:strCache>
                <c:ptCount val="8"/>
                <c:pt idx="0">
                  <c:v>Akshaya  Ommi</c:v>
                </c:pt>
                <c:pt idx="1">
                  <c:v>Kaki Surya Kavya</c:v>
                </c:pt>
                <c:pt idx="2">
                  <c:v>Chandrika Lahari Gondesi</c:v>
                </c:pt>
                <c:pt idx="3">
                  <c:v>Shalini  Malladi</c:v>
                </c:pt>
                <c:pt idx="4">
                  <c:v>Polamarasetty Swathi Swarna Latha</c:v>
                </c:pt>
                <c:pt idx="5">
                  <c:v>Srinidhi  Gontu</c:v>
                </c:pt>
                <c:pt idx="6">
                  <c:v>Nikkat Of Afrin</c:v>
                </c:pt>
                <c:pt idx="7">
                  <c:v>Jaya Sree  Bommidi</c:v>
                </c:pt>
              </c:strCache>
            </c:strRef>
          </c:cat>
          <c:val>
            <c:numRef>
              <c:f>Sheet3!$D$4:$D$11</c:f>
              <c:numCache>
                <c:formatCode>General</c:formatCode>
                <c:ptCount val="8"/>
                <c:pt idx="0">
                  <c:v>16</c:v>
                </c:pt>
                <c:pt idx="1">
                  <c:v>2</c:v>
                </c:pt>
                <c:pt idx="2">
                  <c:v>12</c:v>
                </c:pt>
                <c:pt idx="3">
                  <c:v>14</c:v>
                </c:pt>
                <c:pt idx="4">
                  <c:v>3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E4-4826-BFA3-7194A3FAE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3156047"/>
        <c:axId val="23153167"/>
      </c:barChart>
      <c:catAx>
        <c:axId val="2315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53167"/>
        <c:crosses val="autoZero"/>
        <c:auto val="1"/>
        <c:lblAlgn val="ctr"/>
        <c:lblOffset val="100"/>
        <c:noMultiLvlLbl val="0"/>
      </c:catAx>
      <c:valAx>
        <c:axId val="2315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56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Sheet3!$A$4:$A$11</c:f>
              <c:strCache>
                <c:ptCount val="8"/>
                <c:pt idx="0">
                  <c:v>Akshaya  Ommi</c:v>
                </c:pt>
                <c:pt idx="1">
                  <c:v>Kaki Surya Kavya</c:v>
                </c:pt>
                <c:pt idx="2">
                  <c:v>Chandrika Lahari Gondesi</c:v>
                </c:pt>
                <c:pt idx="3">
                  <c:v>Shalini  Malladi</c:v>
                </c:pt>
                <c:pt idx="4">
                  <c:v>Polamarasetty Swathi Swarna Latha</c:v>
                </c:pt>
                <c:pt idx="5">
                  <c:v>Srinidhi  Gontu</c:v>
                </c:pt>
                <c:pt idx="6">
                  <c:v>Nikkat Of Afrin</c:v>
                </c:pt>
                <c:pt idx="7">
                  <c:v>Jaya Sree  Bommidi</c:v>
                </c:pt>
              </c:strCache>
            </c:strRef>
          </c:cat>
          <c:val>
            <c:numRef>
              <c:f>Sheet3!$F$4:$F$11</c:f>
              <c:numCache>
                <c:formatCode>General</c:formatCode>
                <c:ptCount val="8"/>
                <c:pt idx="0">
                  <c:v>67</c:v>
                </c:pt>
                <c:pt idx="1">
                  <c:v>56</c:v>
                </c:pt>
                <c:pt idx="2">
                  <c:v>45</c:v>
                </c:pt>
                <c:pt idx="3">
                  <c:v>39</c:v>
                </c:pt>
                <c:pt idx="4">
                  <c:v>55</c:v>
                </c:pt>
                <c:pt idx="5">
                  <c:v>28</c:v>
                </c:pt>
                <c:pt idx="6">
                  <c:v>46</c:v>
                </c:pt>
                <c:pt idx="7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54-40B0-A8BB-B142C62C2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692417999"/>
        <c:axId val="692418959"/>
      </c:barChart>
      <c:catAx>
        <c:axId val="692417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418959"/>
        <c:crosses val="autoZero"/>
        <c:auto val="1"/>
        <c:lblAlgn val="ctr"/>
        <c:lblOffset val="100"/>
        <c:noMultiLvlLbl val="0"/>
      </c:catAx>
      <c:valAx>
        <c:axId val="692418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417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 EXCEL HANDS ON.xlsx]Sheet5!PivotTable3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1B-4E1A-92BF-06E7E306EE6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1B-4E1A-92BF-06E7E306EE6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31B-4E1A-92BF-06E7E306EE6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31B-4E1A-92BF-06E7E306EE6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Sheet5!$A$4:$A$8</c:f>
              <c:strCache>
                <c:ptCount val="4"/>
                <c:pt idx="0">
                  <c:v>Chalie</c:v>
                </c:pt>
                <c:pt idx="1">
                  <c:v>Doug</c:v>
                </c:pt>
                <c:pt idx="2">
                  <c:v>Hellen</c:v>
                </c:pt>
                <c:pt idx="3">
                  <c:v>Juan</c:v>
                </c:pt>
              </c:strCache>
            </c:strRef>
          </c:cat>
          <c:val>
            <c:numRef>
              <c:f>Sheet5!$B$4:$B$8</c:f>
              <c:numCache>
                <c:formatCode>_-[$$-409]* #,##0.00_ ;_-[$$-409]* \-#,##0.00\ ;_-[$$-409]* "-"??_ ;_-@_ </c:formatCode>
                <c:ptCount val="4"/>
                <c:pt idx="0">
                  <c:v>396.75000000000011</c:v>
                </c:pt>
                <c:pt idx="1">
                  <c:v>432.7700000000001</c:v>
                </c:pt>
                <c:pt idx="2">
                  <c:v>209.45000000000007</c:v>
                </c:pt>
                <c:pt idx="3">
                  <c:v>193.81000000000009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16-43C0-9A46-0867277D1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PHILOSOPHY TEST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ea typeface="Calibri"/>
              <a:cs typeface="Calibri"/>
            </a:rPr>
            <a:t>PHILOSOPHY TEST</a:t>
          </a:r>
        </a:p>
      </cx:txPr>
    </cx:title>
    <cx:plotArea>
      <cx:plotAreaRegion>
        <cx:series layoutId="boxWhisker" uniqueId="{FD09C2D0-6BC3-4BD7-B70F-CA506047175B}"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60325</xdr:colOff>
      <xdr:row>15</xdr:row>
      <xdr:rowOff>76200</xdr:rowOff>
    </xdr:from>
    <xdr:to>
      <xdr:col>4</xdr:col>
      <xdr:colOff>79375</xdr:colOff>
      <xdr:row>34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7C1B1B-9EF6-E3F4-AF0E-3F91AC3063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371474</xdr:colOff>
      <xdr:row>15</xdr:row>
      <xdr:rowOff>95250</xdr:rowOff>
    </xdr:from>
    <xdr:to>
      <xdr:col>12</xdr:col>
      <xdr:colOff>514349</xdr:colOff>
      <xdr:row>34</xdr:row>
      <xdr:rowOff>63500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EFB45B6-6F47-19A5-422D-04EA1D852A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24424" y="2901950"/>
              <a:ext cx="501967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149225</xdr:colOff>
      <xdr:row>15</xdr:row>
      <xdr:rowOff>95250</xdr:rowOff>
    </xdr:from>
    <xdr:to>
      <xdr:col>19</xdr:col>
      <xdr:colOff>415925</xdr:colOff>
      <xdr:row>34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AF4213-C6CE-F56B-8DF7-306FDD9C82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1219200</xdr:colOff>
      <xdr:row>11</xdr:row>
      <xdr:rowOff>0</xdr:rowOff>
    </xdr:from>
    <xdr:to>
      <xdr:col>2</xdr:col>
      <xdr:colOff>971550</xdr:colOff>
      <xdr:row>30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D73010-C6B8-6729-2DA1-8F5AA7E0D2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keth%20Siddartha\Downloads\Deloitte%20Test%20Shortlist_COLLEGE%20WI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ortlist"/>
      <sheetName val="Sheet3"/>
      <sheetName val="Sheet1"/>
    </sheetNames>
    <sheetDataSet>
      <sheetData sheetId="0"/>
      <sheetData sheetId="1"/>
      <sheetData sheetId="2">
        <row r="1">
          <cell r="A1" t="str">
            <v>MAIL ID</v>
          </cell>
        </row>
        <row r="2">
          <cell r="A2" t="str">
            <v>keerthikatta011@gmail.com</v>
          </cell>
        </row>
        <row r="3">
          <cell r="A3" t="str">
            <v>bhavishya.k2002@gmail.com</v>
          </cell>
        </row>
        <row r="4">
          <cell r="A4" t="str">
            <v>nagakoushikpedapudi@gmail.com</v>
          </cell>
        </row>
        <row r="5">
          <cell r="A5" t="str">
            <v>likithakoppisetti@gmail.com</v>
          </cell>
        </row>
        <row r="6">
          <cell r="A6" t="str">
            <v>srisaisaketh999@gmail.com</v>
          </cell>
        </row>
        <row r="7">
          <cell r="A7" t="str">
            <v>madhutapaswi@gmail.com</v>
          </cell>
        </row>
        <row r="8">
          <cell r="A8" t="str">
            <v>md.parvez1435@gmail.com</v>
          </cell>
        </row>
        <row r="9">
          <cell r="A9" t="str">
            <v>meghanakudupudi01@gmail.com</v>
          </cell>
        </row>
        <row r="10">
          <cell r="A10" t="str">
            <v>anithadesalanka2002@gmail.com</v>
          </cell>
        </row>
        <row r="11">
          <cell r="A11" t="str">
            <v>kavyaanju645@gmail.com</v>
          </cell>
        </row>
        <row r="12">
          <cell r="A12" t="str">
            <v>lavanyad2002@gmail.com</v>
          </cell>
        </row>
        <row r="13">
          <cell r="A13" t="str">
            <v>indukurinishitha@gmail.com</v>
          </cell>
        </row>
        <row r="14">
          <cell r="A14" t="str">
            <v>bindumadhavarapu4@gmail.com</v>
          </cell>
        </row>
        <row r="15">
          <cell r="A15" t="str">
            <v>marellaprasad44@gmail.com</v>
          </cell>
        </row>
        <row r="16">
          <cell r="A16" t="str">
            <v>rajeshkarri004@gmail.com</v>
          </cell>
        </row>
        <row r="17">
          <cell r="A17" t="str">
            <v>saisaripella@gmail.com</v>
          </cell>
        </row>
        <row r="18">
          <cell r="A18" t="str">
            <v>saichakraveniganji@gmail.com</v>
          </cell>
        </row>
        <row r="19">
          <cell r="A19" t="str">
            <v>p.s.teja2232@gmail.com</v>
          </cell>
        </row>
        <row r="20">
          <cell r="A20" t="str">
            <v>matchasridhar@gmail.com</v>
          </cell>
        </row>
        <row r="21">
          <cell r="A21" t="str">
            <v>gayatrinalam2904@gmail.com</v>
          </cell>
        </row>
        <row r="22">
          <cell r="A22" t="str">
            <v>penke82000@gmai.com</v>
          </cell>
        </row>
        <row r="23">
          <cell r="A23" t="str">
            <v>saibhaskar1100@gmail.com</v>
          </cell>
        </row>
        <row r="24">
          <cell r="A24" t="str">
            <v>nalinimadagala59@gmail.com</v>
          </cell>
        </row>
        <row r="25">
          <cell r="A25" t="str">
            <v>pillivaishnavi018@gmail.com</v>
          </cell>
        </row>
        <row r="26">
          <cell r="A26" t="str">
            <v>thoramveerasai@gmail.com</v>
          </cell>
        </row>
        <row r="27">
          <cell r="A27" t="str">
            <v>lakshmisai0408@gmail.com</v>
          </cell>
        </row>
        <row r="28">
          <cell r="A28" t="str">
            <v>vijjiganapavarapu26@gmail.com</v>
          </cell>
        </row>
        <row r="29">
          <cell r="A29" t="str">
            <v>ramyarani298@gmail.com</v>
          </cell>
        </row>
        <row r="30">
          <cell r="A30" t="str">
            <v>padmayedida41@gmail.com</v>
          </cell>
        </row>
        <row r="31">
          <cell r="A31" t="str">
            <v>greeshmalatha1518@gmail.com</v>
          </cell>
        </row>
        <row r="32">
          <cell r="A32" t="str">
            <v>hemanthashok111@gmail.com</v>
          </cell>
        </row>
        <row r="33">
          <cell r="A33" t="str">
            <v>gowthamjureddy833@gmail.com</v>
          </cell>
        </row>
        <row r="34">
          <cell r="A34" t="str">
            <v>chinmayasahithi20@gmail.com</v>
          </cell>
        </row>
        <row r="35">
          <cell r="A35" t="str">
            <v>kadimikarunyajyothi@gmail.com</v>
          </cell>
        </row>
        <row r="36">
          <cell r="A36" t="str">
            <v>somunadipalli1026@gmail.com</v>
          </cell>
        </row>
        <row r="37">
          <cell r="A37" t="str">
            <v>saraswathimohanty082@gmail.com</v>
          </cell>
        </row>
        <row r="38">
          <cell r="A38" t="str">
            <v>harikagrandhi9@gmail.com</v>
          </cell>
        </row>
        <row r="39">
          <cell r="A39" t="str">
            <v>geddadapoornima@gmail.com</v>
          </cell>
        </row>
        <row r="40">
          <cell r="A40" t="str">
            <v>sudheertatikayala111@gmail.com</v>
          </cell>
        </row>
        <row r="41">
          <cell r="A41" t="str">
            <v>sattidurgareddy9000@gmail.com</v>
          </cell>
        </row>
        <row r="42">
          <cell r="A42" t="str">
            <v>vedadivya123@gmail.com</v>
          </cell>
        </row>
        <row r="43">
          <cell r="A43" t="str">
            <v>satyanayudu2001@gmail.com</v>
          </cell>
        </row>
        <row r="44">
          <cell r="A44" t="str">
            <v>prudhviprudhvipennada@gmail.com</v>
          </cell>
        </row>
        <row r="45">
          <cell r="A45" t="str">
            <v>sushrithamushini01@gmail.com</v>
          </cell>
        </row>
        <row r="46">
          <cell r="A46" t="str">
            <v>srichaitanyareddyabbireddyadck@gmail.com</v>
          </cell>
        </row>
        <row r="47">
          <cell r="A47" t="str">
            <v>tarunreddy9010@gmail.com</v>
          </cell>
        </row>
        <row r="48">
          <cell r="A48" t="str">
            <v>sritulasi333@gmail.com</v>
          </cell>
        </row>
        <row r="49">
          <cell r="A49" t="str">
            <v>ashishyadav4959@gmail.com</v>
          </cell>
        </row>
        <row r="50">
          <cell r="A50" t="str">
            <v>padagajyothi@gmail.com</v>
          </cell>
        </row>
        <row r="51">
          <cell r="A51" t="str">
            <v>aashup999@gmail.com</v>
          </cell>
        </row>
        <row r="52">
          <cell r="A52" t="str">
            <v>sindhuoff08@gmail.com</v>
          </cell>
        </row>
        <row r="53">
          <cell r="A53" t="str">
            <v>varaprasadallada2001@gmail.com</v>
          </cell>
        </row>
        <row r="54">
          <cell r="A54" t="str">
            <v>hemanthtadi68@gmail.com</v>
          </cell>
        </row>
        <row r="55">
          <cell r="A55" t="str">
            <v>vamsighantasala7656@gmail.com</v>
          </cell>
        </row>
        <row r="56">
          <cell r="A56" t="str">
            <v>manishachinni2001@gmail.com</v>
          </cell>
        </row>
        <row r="57">
          <cell r="A57" t="str">
            <v>jyosthnapenumalle@gmail.com</v>
          </cell>
        </row>
        <row r="58">
          <cell r="A58" t="str">
            <v>anithasupriya4@gmail.com</v>
          </cell>
        </row>
        <row r="59">
          <cell r="A59" t="str">
            <v>pacchikurateja@gmail.com</v>
          </cell>
        </row>
        <row r="60">
          <cell r="A60" t="str">
            <v>shyamalaranimdugula@gmail.com</v>
          </cell>
        </row>
        <row r="61">
          <cell r="A61" t="str">
            <v>reshmaakula678@gmail.com</v>
          </cell>
        </row>
        <row r="62">
          <cell r="A62" t="str">
            <v>anakapallianand@gmail.com</v>
          </cell>
        </row>
        <row r="63">
          <cell r="A63" t="str">
            <v>kavyaramachandran20@gmail.com</v>
          </cell>
        </row>
        <row r="64">
          <cell r="A64" t="str">
            <v>praneethanittala14@gmail.com</v>
          </cell>
        </row>
        <row r="65">
          <cell r="A65" t="str">
            <v>prathyusha98padala@gmail.com</v>
          </cell>
        </row>
        <row r="66">
          <cell r="A66" t="str">
            <v>858dhara@gmail.com</v>
          </cell>
        </row>
        <row r="67">
          <cell r="A67" t="str">
            <v>sriharshabatchu1@gmail.com</v>
          </cell>
        </row>
        <row r="68">
          <cell r="A68" t="str">
            <v>nandurimanasagayatri@gmail.com</v>
          </cell>
        </row>
        <row r="69">
          <cell r="A69" t="str">
            <v>satyamedepalli3020@gmail.com</v>
          </cell>
        </row>
        <row r="70">
          <cell r="A70" t="str">
            <v>tharunisiripalli@gmail.com</v>
          </cell>
        </row>
        <row r="71">
          <cell r="A71" t="str">
            <v>JAYAPRAKASH9681@GMAIL.COM</v>
          </cell>
        </row>
        <row r="72">
          <cell r="A72" t="str">
            <v>saicheepuri12@gmail.com</v>
          </cell>
        </row>
        <row r="73">
          <cell r="A73" t="str">
            <v>appalareddy1975@gmail.com</v>
          </cell>
        </row>
        <row r="74">
          <cell r="A74" t="str">
            <v>vamsikrishnaambadipudi1@gmail.com</v>
          </cell>
        </row>
        <row r="75">
          <cell r="A75" t="str">
            <v>anjaliniharika1501@gmail.com</v>
          </cell>
        </row>
        <row r="76">
          <cell r="A76" t="str">
            <v>mounikaguttula10@gmail.com</v>
          </cell>
        </row>
        <row r="77">
          <cell r="A77" t="str">
            <v>Sri.anupama1119@gmail.com</v>
          </cell>
        </row>
        <row r="78">
          <cell r="A78" t="str">
            <v>kmounika131001@gmail.com</v>
          </cell>
        </row>
        <row r="79">
          <cell r="A79" t="str">
            <v>bhargavitatikayala@gmail.com</v>
          </cell>
        </row>
        <row r="80">
          <cell r="A80" t="str">
            <v>devibharathi013@gmail.com</v>
          </cell>
        </row>
        <row r="81">
          <cell r="A81" t="str">
            <v>saivenkat513katta@gmail.com</v>
          </cell>
        </row>
        <row r="82">
          <cell r="A82" t="str">
            <v>saranyabandreddy@gmail.com</v>
          </cell>
        </row>
        <row r="83">
          <cell r="A83" t="str">
            <v>prasanthichollangi2@gmail.com</v>
          </cell>
        </row>
        <row r="84">
          <cell r="A84" t="str">
            <v>sreshtamushni@gmail.com</v>
          </cell>
        </row>
        <row r="85">
          <cell r="A85" t="str">
            <v>sunkaradevi990@gmail.com</v>
          </cell>
        </row>
        <row r="86">
          <cell r="A86" t="str">
            <v>lakshmimanojameenavalli@gmail.com</v>
          </cell>
        </row>
        <row r="87">
          <cell r="A87" t="str">
            <v>nsvr.suryarao9@gmail.com</v>
          </cell>
        </row>
        <row r="88">
          <cell r="A88" t="str">
            <v>rajrahul2838@gmail.com</v>
          </cell>
        </row>
        <row r="89">
          <cell r="A89" t="str">
            <v>jakkakrishnaprasad123@gmail.com</v>
          </cell>
        </row>
        <row r="90">
          <cell r="A90" t="str">
            <v>badiganticharanteja202@gmail.com</v>
          </cell>
        </row>
        <row r="91">
          <cell r="A91" t="str">
            <v>amruthakarumuri99@gmail.com</v>
          </cell>
        </row>
        <row r="92">
          <cell r="A92" t="str">
            <v>harishperla00@gmail.com</v>
          </cell>
        </row>
        <row r="93">
          <cell r="A93" t="str">
            <v>sirichandanakhandavilli@gmail.com</v>
          </cell>
        </row>
        <row r="94">
          <cell r="A94" t="str">
            <v>rajithasanaboina999@gmail.com</v>
          </cell>
        </row>
        <row r="95">
          <cell r="A95" t="str">
            <v>kdurgabhavani1409@gmail.com</v>
          </cell>
        </row>
        <row r="96">
          <cell r="A96" t="str">
            <v>narukurthirajitha@gmail.com</v>
          </cell>
        </row>
        <row r="97">
          <cell r="A97" t="str">
            <v>bhavyasrichadalada123@gmail.com</v>
          </cell>
        </row>
        <row r="98">
          <cell r="A98" t="str">
            <v>snehasreechintala2002@gmail.com</v>
          </cell>
        </row>
        <row r="99">
          <cell r="A99" t="str">
            <v>kalyaniboddapalli13@gmail.com</v>
          </cell>
        </row>
        <row r="100">
          <cell r="A100" t="str">
            <v>supraja.bh8888@gmail.com</v>
          </cell>
        </row>
        <row r="101">
          <cell r="A101" t="str">
            <v>bchaitanyakumari04@gmail.com</v>
          </cell>
        </row>
        <row r="102">
          <cell r="A102" t="str">
            <v>chandinianimireddy28@gmail.com</v>
          </cell>
        </row>
        <row r="103">
          <cell r="A103" t="str">
            <v>harshapriya1406@gmail.com</v>
          </cell>
        </row>
        <row r="104">
          <cell r="A104" t="str">
            <v>jayasagar9009@gmail.com</v>
          </cell>
        </row>
        <row r="105">
          <cell r="A105" t="str">
            <v>chaitanyatirupathi3@gmail.com</v>
          </cell>
        </row>
        <row r="106">
          <cell r="A106" t="str">
            <v>afreen200223@gmail.com</v>
          </cell>
        </row>
        <row r="107">
          <cell r="A107" t="str">
            <v>lavanya93271@gmail.com</v>
          </cell>
        </row>
        <row r="108">
          <cell r="A108" t="str">
            <v>sabbavarapudivya09@gmail.com</v>
          </cell>
        </row>
        <row r="109">
          <cell r="A109" t="str">
            <v>swethareddy6080@gmail.com</v>
          </cell>
        </row>
        <row r="110">
          <cell r="A110" t="str">
            <v>gayathridevi2610@gmail.com</v>
          </cell>
        </row>
        <row r="111">
          <cell r="A111" t="str">
            <v>lakshmi.ponnada143@gmail.com</v>
          </cell>
        </row>
        <row r="112">
          <cell r="A112" t="str">
            <v>psowjanya123@gmail.com</v>
          </cell>
        </row>
        <row r="113">
          <cell r="A113" t="str">
            <v>dhurgabavani.p@gmail.com</v>
          </cell>
        </row>
        <row r="114">
          <cell r="A114" t="str">
            <v>laharipasupuleti21@gmail.com</v>
          </cell>
        </row>
        <row r="115">
          <cell r="A115" t="str">
            <v>msatwika2001@gmail.com</v>
          </cell>
        </row>
        <row r="116">
          <cell r="A116" t="str">
            <v>Lakhinanaradhika@gmail.com</v>
          </cell>
        </row>
        <row r="117">
          <cell r="A117" t="str">
            <v>aishwaryakedarisetty99@gmail.com</v>
          </cell>
        </row>
        <row r="118">
          <cell r="A118" t="str">
            <v>kalyanamsathvika@gmail.com</v>
          </cell>
        </row>
        <row r="119">
          <cell r="A119" t="str">
            <v>gorligowri2001@gmail.com</v>
          </cell>
        </row>
        <row r="120">
          <cell r="A120" t="str">
            <v>gorlepreethi27@gmail.com</v>
          </cell>
        </row>
        <row r="121">
          <cell r="A121" t="str">
            <v>navyagorapalli6@gmail.com</v>
          </cell>
        </row>
        <row r="122">
          <cell r="A122" t="str">
            <v>Sravanigantla14@gmail.com</v>
          </cell>
        </row>
        <row r="123">
          <cell r="A123" t="str">
            <v>likhithagandi8822@gmail.com</v>
          </cell>
        </row>
        <row r="124">
          <cell r="A124" t="str">
            <v>nitishavarma23723@gmail.com</v>
          </cell>
        </row>
        <row r="125">
          <cell r="A125" t="str">
            <v>kolisettiumamahesh1412@gmail.com</v>
          </cell>
        </row>
        <row r="126">
          <cell r="A126" t="str">
            <v>rajarebel24862@gmail.com</v>
          </cell>
        </row>
        <row r="127">
          <cell r="A127" t="str">
            <v>pilakajagadeesh214@gmail.com</v>
          </cell>
        </row>
        <row r="128">
          <cell r="A128" t="str">
            <v>billapravallika@gmail.com</v>
          </cell>
        </row>
        <row r="129">
          <cell r="A129" t="str">
            <v>ppadma2001@gmail.com</v>
          </cell>
        </row>
        <row r="130">
          <cell r="A130" t="str">
            <v>krishnalynn96527@gmail.com</v>
          </cell>
        </row>
        <row r="131">
          <cell r="A131" t="str">
            <v>shalomnancy30@gmail.com</v>
          </cell>
        </row>
        <row r="132">
          <cell r="A132" t="str">
            <v>talasurevathi99899tr@gmail.com</v>
          </cell>
        </row>
        <row r="133">
          <cell r="A133" t="str">
            <v>devakirapeti0326@gmail.com</v>
          </cell>
        </row>
        <row r="134">
          <cell r="A134" t="str">
            <v>majjilavanya1702@gmail.com</v>
          </cell>
        </row>
        <row r="135">
          <cell r="A135" t="str">
            <v>saisathwika2021@gmail.com</v>
          </cell>
        </row>
        <row r="136">
          <cell r="A136" t="str">
            <v>garikinaharika@gmail.com</v>
          </cell>
        </row>
        <row r="137">
          <cell r="A137" t="str">
            <v>saikiranb117@gmail.com</v>
          </cell>
        </row>
        <row r="138">
          <cell r="A138" t="str">
            <v>besapudeepika@gmail.com</v>
          </cell>
        </row>
        <row r="139">
          <cell r="A139" t="str">
            <v>sakethbehara71@gmail.com</v>
          </cell>
        </row>
        <row r="140">
          <cell r="A140" t="str">
            <v>roshiniarisetti2002@gmail.com</v>
          </cell>
        </row>
        <row r="141">
          <cell r="A141" t="str">
            <v>dhanushd656@gmail.com</v>
          </cell>
        </row>
        <row r="142">
          <cell r="A142" t="str">
            <v>mithuntharapureddi@gmail.com</v>
          </cell>
        </row>
        <row r="143">
          <cell r="A143" t="str">
            <v>bankatejashrychandana@gmail.com</v>
          </cell>
        </row>
        <row r="144">
          <cell r="A144" t="str">
            <v>gowriswaritanna443@gmail.com</v>
          </cell>
        </row>
        <row r="145">
          <cell r="A145" t="str">
            <v>madhut15.04.02@gmail.com</v>
          </cell>
        </row>
        <row r="146">
          <cell r="A146" t="str">
            <v>avaneendra28062002@gmail.com</v>
          </cell>
        </row>
        <row r="147">
          <cell r="A147" t="str">
            <v>saripalliindraja9026@gmail.com</v>
          </cell>
        </row>
        <row r="148">
          <cell r="A148" t="str">
            <v>anandAk7579@gmail.com</v>
          </cell>
        </row>
        <row r="149">
          <cell r="A149" t="str">
            <v>rajkumarsabbavarapu98@gmail.com</v>
          </cell>
        </row>
        <row r="150">
          <cell r="A150" t="str">
            <v>priyar6608@gmail.com</v>
          </cell>
        </row>
        <row r="151">
          <cell r="A151" t="str">
            <v>bhavanapalla310@gmail.com</v>
          </cell>
        </row>
        <row r="152">
          <cell r="A152" t="str">
            <v>sreekanth111.jc@gmail.com</v>
          </cell>
        </row>
        <row r="153">
          <cell r="A153" t="str">
            <v>nagireddymanasa5298@gmail.com</v>
          </cell>
        </row>
        <row r="154">
          <cell r="A154" t="str">
            <v>nagaramaneesha08@gmail.com</v>
          </cell>
        </row>
        <row r="155">
          <cell r="A155" t="str">
            <v>indra1411628@gmail.com</v>
          </cell>
        </row>
        <row r="156">
          <cell r="A156" t="str">
            <v>jatishbabu88@gmail.com</v>
          </cell>
        </row>
        <row r="157">
          <cell r="A157" t="str">
            <v>ravitejakosuri.2001@gmail.com</v>
          </cell>
        </row>
        <row r="158">
          <cell r="A158" t="str">
            <v>ayyappaaarya352@gmail.com</v>
          </cell>
        </row>
        <row r="159">
          <cell r="A159" t="str">
            <v>yamunakandukuri1001@gmail.com</v>
          </cell>
        </row>
        <row r="160">
          <cell r="A160" t="str">
            <v>srisatya1605@gmail.com</v>
          </cell>
        </row>
        <row r="161">
          <cell r="A161" t="str">
            <v>tarunsh2019@gmail.com</v>
          </cell>
        </row>
        <row r="162">
          <cell r="A162" t="str">
            <v>sagarkumar52002@gmail.com</v>
          </cell>
        </row>
        <row r="163">
          <cell r="A163" t="str">
            <v>divyasaibotta@gmail.com</v>
          </cell>
        </row>
        <row r="164">
          <cell r="A164" t="str">
            <v>Udaylucky7453@gmail.com</v>
          </cell>
        </row>
        <row r="165">
          <cell r="A165" t="str">
            <v>harshanagasri1@gmail.com</v>
          </cell>
        </row>
        <row r="166">
          <cell r="A166" t="str">
            <v>jayasreebommidi30@gmail.com</v>
          </cell>
        </row>
        <row r="167">
          <cell r="A167" t="str">
            <v>sudharani8862@gmail.com</v>
          </cell>
        </row>
        <row r="168">
          <cell r="A168" t="str">
            <v>beri.pavani123@gmail.com</v>
          </cell>
        </row>
        <row r="169">
          <cell r="A169" t="str">
            <v>bammidimounika4@gmail.com</v>
          </cell>
        </row>
        <row r="170">
          <cell r="A170" t="str">
            <v>lahirraj11@gmail.com</v>
          </cell>
        </row>
        <row r="171">
          <cell r="A171" t="str">
            <v>simhadripriyanka2001@gmail.com</v>
          </cell>
        </row>
        <row r="172">
          <cell r="A172" t="str">
            <v>saisupriya940@gmail.com</v>
          </cell>
        </row>
        <row r="173">
          <cell r="A173" t="str">
            <v>reddijyothsna5@gmail.com</v>
          </cell>
        </row>
        <row r="174">
          <cell r="A174" t="str">
            <v>meghanarajagiri14@gmail.com</v>
          </cell>
        </row>
        <row r="175">
          <cell r="A175" t="str">
            <v>vandanapati3@gmail.com</v>
          </cell>
        </row>
        <row r="176">
          <cell r="A176" t="str">
            <v>kalyani.maddi2001@gmail.com</v>
          </cell>
        </row>
        <row r="177">
          <cell r="A177" t="str">
            <v>krishnakomma48@gmail.com</v>
          </cell>
        </row>
        <row r="178">
          <cell r="A178" t="str">
            <v>Sahityabonugu13@gmail.com</v>
          </cell>
        </row>
        <row r="179">
          <cell r="A179" t="str">
            <v>ankita200262singh@gmail.com</v>
          </cell>
        </row>
        <row r="180">
          <cell r="A180" t="str">
            <v>tutanaveen@gmail.com</v>
          </cell>
        </row>
        <row r="181">
          <cell r="A181" t="str">
            <v>sunkarakarishma2468@gmail.com</v>
          </cell>
        </row>
        <row r="182">
          <cell r="A182" t="str">
            <v>sannihithas400@gmail.com</v>
          </cell>
        </row>
        <row r="183">
          <cell r="A183" t="str">
            <v>neelupothala@gmail.com</v>
          </cell>
        </row>
        <row r="184">
          <cell r="A184" t="str">
            <v>surendrapethakamsetti@gmail.com</v>
          </cell>
        </row>
        <row r="185">
          <cell r="A185" t="str">
            <v>neehhhaa14@gmail.com</v>
          </cell>
        </row>
        <row r="186">
          <cell r="A186" t="str">
            <v>hadassahrani15@gmail.com</v>
          </cell>
        </row>
        <row r="187">
          <cell r="A187" t="str">
            <v>durgacheruku4245@gmail.com</v>
          </cell>
        </row>
        <row r="188">
          <cell r="A188" t="str">
            <v>pavanchandu2000@gmail.com</v>
          </cell>
        </row>
        <row r="189">
          <cell r="A189" t="str">
            <v>bhaskarsunkara123@gmail.com</v>
          </cell>
        </row>
        <row r="190">
          <cell r="A190" t="str">
            <v>lalamdivya419@gmail.com</v>
          </cell>
        </row>
        <row r="191">
          <cell r="A191" t="str">
            <v>kintalisaisoujanya@gmail.com</v>
          </cell>
        </row>
        <row r="192">
          <cell r="A192" t="str">
            <v>srinugurrala143@gmail.com</v>
          </cell>
        </row>
        <row r="193">
          <cell r="A193" t="str">
            <v>luckysusmi11@gmail.com</v>
          </cell>
        </row>
        <row r="194">
          <cell r="A194" t="str">
            <v>geethapriya0919@gmail.com</v>
          </cell>
        </row>
        <row r="195">
          <cell r="A195" t="str">
            <v>tejaavinashreddy@gmail.com</v>
          </cell>
        </row>
        <row r="196">
          <cell r="A196" t="str">
            <v>vummidisettihemakumari@gmail.com</v>
          </cell>
        </row>
        <row r="197">
          <cell r="A197" t="str">
            <v>vatsavayisandhya@gmail.com</v>
          </cell>
        </row>
        <row r="198">
          <cell r="A198" t="str">
            <v>vishnutulasi0710@gmail.com</v>
          </cell>
        </row>
        <row r="199">
          <cell r="A199" t="str">
            <v>sureddi.aswini@gmail.com</v>
          </cell>
        </row>
        <row r="200">
          <cell r="A200" t="str">
            <v>skkarishma56162@gmail.com</v>
          </cell>
        </row>
        <row r="201">
          <cell r="A201" t="str">
            <v>chandinisaketi2003@gmail.com</v>
          </cell>
        </row>
        <row r="202">
          <cell r="A202" t="str">
            <v>kiranmai2117@gmail.com</v>
          </cell>
        </row>
        <row r="203">
          <cell r="A203" t="str">
            <v>haneeshareddipalli2002@gmail.com</v>
          </cell>
        </row>
        <row r="204">
          <cell r="A204" t="str">
            <v>chandupinapolu@gmail.com</v>
          </cell>
        </row>
        <row r="205">
          <cell r="A205" t="str">
            <v>dakshayanipatta54@gmail.com</v>
          </cell>
        </row>
        <row r="206">
          <cell r="A206" t="str">
            <v>keerthypasupureddy@gmail.com</v>
          </cell>
        </row>
        <row r="207">
          <cell r="A207" t="str">
            <v>sanjanapalla3@gmail.com</v>
          </cell>
        </row>
        <row r="208">
          <cell r="A208" t="str">
            <v>mylapillibindu@gmail.com</v>
          </cell>
        </row>
        <row r="209">
          <cell r="A209" t="str">
            <v>madugulajosephbabu2@gmail.com</v>
          </cell>
        </row>
        <row r="210">
          <cell r="A210" t="str">
            <v>chandrikakoilada@gmail.com</v>
          </cell>
        </row>
        <row r="211">
          <cell r="A211" t="str">
            <v>k666kusuma@gmail.com</v>
          </cell>
        </row>
        <row r="212">
          <cell r="A212" t="str">
            <v>nagaindrani19@gmail.com</v>
          </cell>
        </row>
        <row r="213">
          <cell r="A213" t="str">
            <v>gvedavanditha@gmail.com</v>
          </cell>
        </row>
        <row r="214">
          <cell r="A214" t="str">
            <v>gsree9240@gmail.com</v>
          </cell>
        </row>
        <row r="215">
          <cell r="A215" t="str">
            <v>kusumabongu52@gmail.com</v>
          </cell>
        </row>
        <row r="216">
          <cell r="A216" t="str">
            <v>gowthamiboina15@gmail.com</v>
          </cell>
        </row>
        <row r="217">
          <cell r="A217" t="str">
            <v>boddedabhavana@gmail.com</v>
          </cell>
        </row>
        <row r="218">
          <cell r="A218" t="str">
            <v>prathimabagadi2001@gmail.com</v>
          </cell>
        </row>
        <row r="219">
          <cell r="A219" t="str">
            <v>psgc4606@gmail.com</v>
          </cell>
        </row>
        <row r="220">
          <cell r="A220" t="str">
            <v>tarakreddypadala143@gmail.com</v>
          </cell>
        </row>
        <row r="221">
          <cell r="A221" t="str">
            <v>raghuramjuvvala123@gmail.com</v>
          </cell>
        </row>
        <row r="222">
          <cell r="A222" t="str">
            <v>amsgakhila@gmail.com</v>
          </cell>
        </row>
        <row r="223">
          <cell r="A223" t="str">
            <v>pudulokeshkumar777@gmail.com</v>
          </cell>
        </row>
        <row r="224">
          <cell r="A224" t="str">
            <v>lavanyapadmanabham0@gmail.com</v>
          </cell>
        </row>
        <row r="225">
          <cell r="A225" t="str">
            <v>vasudhasri28@gmail.com</v>
          </cell>
        </row>
        <row r="226">
          <cell r="A226" t="str">
            <v>lodagalasowjanyasri@gmail.com</v>
          </cell>
        </row>
        <row r="227">
          <cell r="A227" t="str">
            <v>eeshaapoorva02@gmail.com</v>
          </cell>
        </row>
        <row r="228">
          <cell r="A228" t="str">
            <v>kollatimadhuri06@gmail.com</v>
          </cell>
        </row>
        <row r="229">
          <cell r="A229" t="str">
            <v>saiganeshjerripothula8356@gmail.com</v>
          </cell>
        </row>
        <row r="230">
          <cell r="A230" t="str">
            <v>kiranuday2662@gmail.com</v>
          </cell>
        </row>
        <row r="231">
          <cell r="A231" t="str">
            <v>kumarigolagani2000@gmail.com</v>
          </cell>
        </row>
        <row r="232">
          <cell r="A232" t="str">
            <v>dukkatejasri@gmail.com</v>
          </cell>
        </row>
        <row r="233">
          <cell r="A233" t="str">
            <v>satishbarla157@gmail.com</v>
          </cell>
        </row>
        <row r="234">
          <cell r="A234" t="str">
            <v>praveen27sep2000@gmail.com</v>
          </cell>
        </row>
        <row r="235">
          <cell r="A235" t="str">
            <v>madhukirankarumanchi@gmail.com</v>
          </cell>
        </row>
        <row r="236">
          <cell r="A236" t="str">
            <v>nikithasandaka222@gmail.com</v>
          </cell>
        </row>
        <row r="237">
          <cell r="A237" t="str">
            <v>dharanikillada2000@gmail.com</v>
          </cell>
        </row>
        <row r="238">
          <cell r="A238" t="str">
            <v>kagitalakeerthireddy@gmail.com</v>
          </cell>
        </row>
        <row r="239">
          <cell r="A239" t="str">
            <v>mohanavamsigollangi2001@gmail.com</v>
          </cell>
        </row>
        <row r="240">
          <cell r="A240" t="str">
            <v>mounisha1713@gmail.com</v>
          </cell>
        </row>
        <row r="241">
          <cell r="A241" t="str">
            <v>soolaprasanna411@gmail.com</v>
          </cell>
        </row>
        <row r="242">
          <cell r="A242" t="str">
            <v>sarupadevimogalapu@gmail.com</v>
          </cell>
        </row>
        <row r="243">
          <cell r="A243" t="str">
            <v>niharikakondaveeti2611@gmail.com</v>
          </cell>
        </row>
        <row r="244">
          <cell r="A244" t="str">
            <v>somarajuushabala@gmail.com</v>
          </cell>
        </row>
        <row r="245">
          <cell r="A245" t="str">
            <v>maradanicharankumar@gmail.com</v>
          </cell>
        </row>
        <row r="246">
          <cell r="A246" t="str">
            <v>bollamchandrasekhar2@gmail.com</v>
          </cell>
        </row>
        <row r="247">
          <cell r="A247" t="str">
            <v>mopidevijayalakshmi9290@gmail.com</v>
          </cell>
        </row>
        <row r="248">
          <cell r="A248" t="str">
            <v>manjunadhareddy02@gmail.com</v>
          </cell>
        </row>
        <row r="249">
          <cell r="A249" t="str">
            <v>saraarju6@gmail.com</v>
          </cell>
        </row>
        <row r="250">
          <cell r="A250" t="str">
            <v>arunaavutupalli@gmail.com</v>
          </cell>
        </row>
        <row r="251">
          <cell r="A251" t="str">
            <v>ramujampana143@gmail.com</v>
          </cell>
        </row>
        <row r="252">
          <cell r="A252" t="str">
            <v>golisuresh2002@gmail.com</v>
          </cell>
        </row>
        <row r="253">
          <cell r="A253" t="str">
            <v>kusumavarshitha901@gmail.com</v>
          </cell>
        </row>
        <row r="254">
          <cell r="A254" t="str">
            <v>vineelaganesh03@gmail.com</v>
          </cell>
        </row>
        <row r="255">
          <cell r="A255" t="str">
            <v>maheswarijami1607@gmail.com</v>
          </cell>
        </row>
        <row r="256">
          <cell r="A256" t="str">
            <v>suprajanarayanam1919@gmail.com</v>
          </cell>
        </row>
        <row r="257">
          <cell r="A257" t="str">
            <v>chandumuvva2k@gmail.com</v>
          </cell>
        </row>
        <row r="258">
          <cell r="A258" t="str">
            <v>lakshmigalidevara18@gmail.com</v>
          </cell>
        </row>
        <row r="259">
          <cell r="A259" t="str">
            <v>ramyasrich2797@gmail.com</v>
          </cell>
        </row>
        <row r="260">
          <cell r="A260" t="str">
            <v>tarunsamayam3399@gmail.com</v>
          </cell>
        </row>
        <row r="261">
          <cell r="A261" t="str">
            <v>shaikchanbhashah2341@gmail.com</v>
          </cell>
        </row>
        <row r="262">
          <cell r="A262" t="str">
            <v>ishaamal786@gmail.com</v>
          </cell>
        </row>
        <row r="263">
          <cell r="A263" t="str">
            <v>shyamanushaeddykovvuri@gmail.com</v>
          </cell>
        </row>
        <row r="264">
          <cell r="A264" t="str">
            <v>supriyavarma800@gmail.com</v>
          </cell>
        </row>
        <row r="265">
          <cell r="A265" t="str">
            <v>devikadasari8@gmail.com</v>
          </cell>
        </row>
        <row r="266">
          <cell r="A266" t="str">
            <v>sanjunaidu460@gmail.com</v>
          </cell>
        </row>
        <row r="267">
          <cell r="A267" t="str">
            <v>saiganeshlovley@gmail.com</v>
          </cell>
        </row>
        <row r="268">
          <cell r="A268" t="str">
            <v>dharaniappana@gmail.com</v>
          </cell>
        </row>
        <row r="269">
          <cell r="A269" t="str">
            <v>mahalakshmiamballa@gmail.com</v>
          </cell>
        </row>
        <row r="270">
          <cell r="A270" t="str">
            <v>charansaikumar15708@gmail.com</v>
          </cell>
        </row>
        <row r="271">
          <cell r="A271" t="str">
            <v>teenathotey203@gmail.com</v>
          </cell>
        </row>
        <row r="272">
          <cell r="A272" t="str">
            <v>chrevathi482@gmail.com</v>
          </cell>
        </row>
        <row r="273">
          <cell r="A273" t="str">
            <v>thotakuraindu77@gmail.com</v>
          </cell>
        </row>
        <row r="274">
          <cell r="A274" t="str">
            <v>dallysatyasrisatti@gmail.com</v>
          </cell>
        </row>
        <row r="275">
          <cell r="A275" t="str">
            <v>harikapabollu143@gmail.com</v>
          </cell>
        </row>
        <row r="276">
          <cell r="A276" t="str">
            <v>kiranmayi.naram@gmail.com</v>
          </cell>
        </row>
        <row r="277">
          <cell r="A277" t="str">
            <v>mdhafeeza555@gmail.com</v>
          </cell>
        </row>
        <row r="278">
          <cell r="A278" t="str">
            <v>sainagadurgamallula@gmail.com</v>
          </cell>
        </row>
        <row r="279">
          <cell r="A279" t="str">
            <v>kalpanasarma122@gmail.com</v>
          </cell>
        </row>
        <row r="280">
          <cell r="A280" t="str">
            <v>pavan8790698680@gmail.com</v>
          </cell>
        </row>
        <row r="281">
          <cell r="A281" t="str">
            <v>pavanigandrothu@gmail.com</v>
          </cell>
        </row>
        <row r="282">
          <cell r="A282" t="str">
            <v>saicharan.pothula.2000@gmail.com</v>
          </cell>
        </row>
        <row r="283">
          <cell r="A283" t="str">
            <v>sridharkandrakota02@gmail.com</v>
          </cell>
        </row>
        <row r="284">
          <cell r="A284" t="str">
            <v>muralialugolu3@gmail.com</v>
          </cell>
        </row>
        <row r="285">
          <cell r="A285" t="str">
            <v>angaprasanna2001@gmail.com</v>
          </cell>
        </row>
        <row r="286">
          <cell r="A286" t="str">
            <v>shebaadhikari7@gmail.com</v>
          </cell>
        </row>
        <row r="287">
          <cell r="A287" t="str">
            <v>tejaswiniirrinki@gmail.com</v>
          </cell>
        </row>
        <row r="288">
          <cell r="A288" t="str">
            <v>sarugudipati05@gmail.com</v>
          </cell>
        </row>
        <row r="289">
          <cell r="A289" t="str">
            <v>kusumachokkapu2001@gmail.com</v>
          </cell>
        </row>
        <row r="290">
          <cell r="A290" t="str">
            <v>satyakoppula10@gmail.com</v>
          </cell>
        </row>
        <row r="291">
          <cell r="A291" t="str">
            <v>riya.j23.naars@gmail.com</v>
          </cell>
        </row>
        <row r="292">
          <cell r="A292" t="str">
            <v>tallapudichandini@gmail.com</v>
          </cell>
        </row>
        <row r="293">
          <cell r="A293" t="str">
            <v>arpithamanda177@gmail.com</v>
          </cell>
        </row>
        <row r="294">
          <cell r="A294" t="str">
            <v>jyothirmailoya2002@gmail.com</v>
          </cell>
        </row>
        <row r="295">
          <cell r="A295" t="str">
            <v>vineethaeluri1234@gmail.com</v>
          </cell>
        </row>
        <row r="296">
          <cell r="A296" t="str">
            <v>yelugula.manikanta6533@gmail.com</v>
          </cell>
        </row>
        <row r="297">
          <cell r="A297" t="str">
            <v>kothurumanikanta20@gmail.com</v>
          </cell>
        </row>
        <row r="298">
          <cell r="A298" t="str">
            <v>kannurimanasa999@gmail.com</v>
          </cell>
        </row>
        <row r="299">
          <cell r="A299" t="str">
            <v>lakshmidangeti777@gmail.com</v>
          </cell>
        </row>
        <row r="300">
          <cell r="A300" t="str">
            <v>vanusha9642@gmail.com</v>
          </cell>
        </row>
        <row r="301">
          <cell r="A301" t="str">
            <v>lokesh.setti.143@gmail.com</v>
          </cell>
        </row>
        <row r="302">
          <cell r="A302" t="str">
            <v>srujanasruji56@gmail.com</v>
          </cell>
        </row>
        <row r="303">
          <cell r="A303" t="str">
            <v>kollukavya005@gmail.com</v>
          </cell>
        </row>
        <row r="304">
          <cell r="A304" t="str">
            <v>sharishmalalam@gmail.com</v>
          </cell>
        </row>
        <row r="305">
          <cell r="A305" t="str">
            <v>bvdprasad116@gmail.com</v>
          </cell>
        </row>
        <row r="306">
          <cell r="A306" t="str">
            <v>vegesnasnehitha3774@gmail.com</v>
          </cell>
        </row>
        <row r="307">
          <cell r="A307" t="str">
            <v>kavithaaruttala@gmail.com</v>
          </cell>
        </row>
        <row r="308">
          <cell r="A308" t="str">
            <v>rupu264@gmail.com</v>
          </cell>
        </row>
        <row r="309">
          <cell r="A309" t="str">
            <v>daniyelupolavarapu@gmail.com</v>
          </cell>
        </row>
        <row r="310">
          <cell r="A310" t="str">
            <v>ramakrishnapakkurthi13580@gmail.com</v>
          </cell>
        </row>
        <row r="311">
          <cell r="A311" t="str">
            <v>padalavenkatesh101@gmail.com</v>
          </cell>
        </row>
        <row r="312">
          <cell r="A312" t="str">
            <v>akanthprince1@gmail.com</v>
          </cell>
        </row>
        <row r="313">
          <cell r="A313" t="str">
            <v>nagasains7@gmail.com</v>
          </cell>
        </row>
        <row r="314">
          <cell r="A314" t="str">
            <v>chandrakomali66@gmail.com</v>
          </cell>
        </row>
        <row r="315">
          <cell r="A315" t="str">
            <v>tarunvardhan01@gmail.com</v>
          </cell>
        </row>
        <row r="316">
          <cell r="A316" t="str">
            <v>hemanusha1@gmail.com</v>
          </cell>
        </row>
        <row r="317">
          <cell r="A317" t="str">
            <v>chayauppalapati19@gmail.com</v>
          </cell>
        </row>
        <row r="318">
          <cell r="A318" t="str">
            <v>tillapudibhuvana123@gmail.com</v>
          </cell>
        </row>
        <row r="319">
          <cell r="A319" t="str">
            <v>aneesharaheema@gmail.com</v>
          </cell>
        </row>
        <row r="320">
          <cell r="A320" t="str">
            <v>saiakshithapuppala@gmail.com</v>
          </cell>
        </row>
        <row r="321">
          <cell r="A321" t="str">
            <v>renukasomwya918@gmail.com</v>
          </cell>
        </row>
        <row r="322">
          <cell r="A322" t="str">
            <v>sonupriya6000@gmail.com</v>
          </cell>
        </row>
        <row r="323">
          <cell r="A323" t="str">
            <v>bhavyalahari45@gmail.com</v>
          </cell>
        </row>
        <row r="324">
          <cell r="A324" t="str">
            <v>susmithadindi2000@gmail.com</v>
          </cell>
        </row>
        <row r="325">
          <cell r="A325" t="str">
            <v>chmanasalakshmidevi@gmail.com</v>
          </cell>
        </row>
        <row r="326">
          <cell r="A326" t="str">
            <v>harikabese526@gmail.com</v>
          </cell>
        </row>
        <row r="327">
          <cell r="A327" t="str">
            <v>sreeamrutha02@gmail.com</v>
          </cell>
        </row>
        <row r="328">
          <cell r="A328" t="str">
            <v>sirimahanthi1@gmail.com</v>
          </cell>
        </row>
        <row r="329">
          <cell r="A329" t="str">
            <v>sandysanju1689@gmail.com</v>
          </cell>
        </row>
        <row r="330">
          <cell r="A330" t="str">
            <v>saiharika.garapatii@gmail.com</v>
          </cell>
        </row>
        <row r="331">
          <cell r="A331" t="str">
            <v>suryadurvasula25@gmail.com</v>
          </cell>
        </row>
        <row r="332">
          <cell r="A332" t="str">
            <v>vanilavanya2024@gmail.com</v>
          </cell>
        </row>
        <row r="333">
          <cell r="A333" t="str">
            <v>saipriyankasidagam99@gmail.com</v>
          </cell>
        </row>
        <row r="334">
          <cell r="A334" t="str">
            <v>sarika.monika123@gmail.com</v>
          </cell>
        </row>
        <row r="335">
          <cell r="A335" t="str">
            <v>rajamandrapukavya@gmail.com</v>
          </cell>
        </row>
        <row r="336">
          <cell r="A336" t="str">
            <v>durgavasanthi.p@gmail.com</v>
          </cell>
        </row>
        <row r="337">
          <cell r="A337" t="str">
            <v>divyamodukuri916@gmail.com</v>
          </cell>
        </row>
        <row r="338">
          <cell r="A338" t="str">
            <v>meenakshisainavya15@gmail.com</v>
          </cell>
        </row>
        <row r="339">
          <cell r="A339" t="str">
            <v>niharikamandiga@gmail.com</v>
          </cell>
        </row>
        <row r="340">
          <cell r="A340" t="str">
            <v>gayatrikedarisetti983@gmail.com</v>
          </cell>
        </row>
        <row r="341">
          <cell r="A341" t="str">
            <v>mahathigedela66@gmail.com</v>
          </cell>
        </row>
        <row r="342">
          <cell r="A342" t="str">
            <v>995943632l@gmail.com</v>
          </cell>
        </row>
        <row r="343">
          <cell r="A343" t="str">
            <v>akkireddyharitha31@gmail.com</v>
          </cell>
        </row>
        <row r="344">
          <cell r="A344" t="str">
            <v>srideviyadavalli18@gmail.com</v>
          </cell>
        </row>
        <row r="345">
          <cell r="A345" t="str">
            <v>kommojusoniya564@gmail.com</v>
          </cell>
        </row>
        <row r="346">
          <cell r="A346" t="str">
            <v>prasaddj903@gmail.com</v>
          </cell>
        </row>
        <row r="347">
          <cell r="A347" t="str">
            <v>jayasri2147@gmail.com</v>
          </cell>
        </row>
        <row r="348">
          <cell r="A348" t="str">
            <v>harshithat2001@gmail.com</v>
          </cell>
        </row>
        <row r="349">
          <cell r="A349" t="str">
            <v>thannirupraharshitha@gmail.com</v>
          </cell>
        </row>
        <row r="350">
          <cell r="A350" t="str">
            <v>rslmounikadevi888@gmail.com</v>
          </cell>
        </row>
        <row r="351">
          <cell r="A351" t="str">
            <v>mahathipeesapati17@gmail.com</v>
          </cell>
        </row>
        <row r="352">
          <cell r="A352" t="str">
            <v>harikapatnaik146@gmail.com</v>
          </cell>
        </row>
        <row r="353">
          <cell r="A353" t="str">
            <v>neelapalasriram@gmail.com</v>
          </cell>
        </row>
        <row r="354">
          <cell r="A354" t="str">
            <v>tulac13@gmail.com</v>
          </cell>
        </row>
        <row r="355">
          <cell r="A355" t="str">
            <v>kosurisaipurnima@gmail.com</v>
          </cell>
        </row>
        <row r="356">
          <cell r="A356" t="str">
            <v>bindu.imandi@gmail.com</v>
          </cell>
        </row>
        <row r="357">
          <cell r="A357" t="str">
            <v>mounikadevi634@gmail.com</v>
          </cell>
        </row>
        <row r="358">
          <cell r="A358" t="str">
            <v>anushagorripati777@gmail.com</v>
          </cell>
        </row>
        <row r="359">
          <cell r="A359" t="str">
            <v>prasanthigandi196@gmail.com</v>
          </cell>
        </row>
        <row r="360">
          <cell r="A360" t="str">
            <v>Chodavarapusaideepika@gmail.com</v>
          </cell>
        </row>
        <row r="361">
          <cell r="A361" t="str">
            <v>sandhyabandi3107@gmail.com</v>
          </cell>
        </row>
        <row r="362">
          <cell r="A362" t="str">
            <v>yedidasurekha@gmail.com</v>
          </cell>
        </row>
        <row r="363">
          <cell r="A363" t="str">
            <v>likithapothula@gmail.com</v>
          </cell>
        </row>
        <row r="364">
          <cell r="A364" t="str">
            <v>saigowtham3947@gmail.com</v>
          </cell>
        </row>
        <row r="365">
          <cell r="A365" t="str">
            <v>nehikaguttula2309@gmail.com</v>
          </cell>
        </row>
        <row r="366">
          <cell r="A366" t="str">
            <v>devib5570@gmail.com</v>
          </cell>
        </row>
        <row r="367">
          <cell r="A367" t="str">
            <v>prasadbandaru834@gmail.com</v>
          </cell>
        </row>
        <row r="368">
          <cell r="A368" t="str">
            <v>priyamalasani1001@gmail.com</v>
          </cell>
        </row>
        <row r="369">
          <cell r="A369" t="str">
            <v>udathamadhuri250601@gmail.com</v>
          </cell>
        </row>
        <row r="370">
          <cell r="A370" t="str">
            <v>somupooja2751@gmail.com</v>
          </cell>
        </row>
        <row r="371">
          <cell r="A371" t="str">
            <v>lalithaseela5@gmail.com</v>
          </cell>
        </row>
        <row r="372">
          <cell r="A372" t="str">
            <v>venkataprasadu2020@gmail.com</v>
          </cell>
        </row>
        <row r="373">
          <cell r="A373" t="str">
            <v>pavanvamsilakamsani@gmail.com</v>
          </cell>
        </row>
        <row r="374">
          <cell r="A374" t="str">
            <v>shivanipradhan41@gmail.com</v>
          </cell>
        </row>
        <row r="375">
          <cell r="A375" t="str">
            <v>sirishabulusu2002@gmail.com</v>
          </cell>
        </row>
        <row r="376">
          <cell r="A376" t="str">
            <v>thoteprincy@gmail.com</v>
          </cell>
        </row>
        <row r="377">
          <cell r="A377" t="str">
            <v>gayathrikorada0227@gmail.com</v>
          </cell>
        </row>
        <row r="378">
          <cell r="A378" t="str">
            <v>roshininadisetty2002@gmail.com</v>
          </cell>
        </row>
        <row r="379">
          <cell r="A379" t="str">
            <v>chiranjeeviarepalli8@gmail.com</v>
          </cell>
        </row>
        <row r="380">
          <cell r="A380" t="str">
            <v>amruthavalliamujula@gmail.com</v>
          </cell>
        </row>
        <row r="381">
          <cell r="A381" t="str">
            <v>viveksai931@gmail.com</v>
          </cell>
        </row>
        <row r="382">
          <cell r="A382" t="str">
            <v>rohithaakula540@gmail.com</v>
          </cell>
        </row>
        <row r="383">
          <cell r="A383" t="str">
            <v>ramyagolla2002@gmail.com</v>
          </cell>
        </row>
        <row r="384">
          <cell r="A384" t="str">
            <v>charithamadupalli@gmail.com</v>
          </cell>
        </row>
        <row r="385">
          <cell r="A385" t="str">
            <v>kellavignesh529@gmail.com</v>
          </cell>
        </row>
        <row r="386">
          <cell r="A386" t="str">
            <v>a.prasanthi2001@gmail.com</v>
          </cell>
        </row>
        <row r="387">
          <cell r="A387" t="str">
            <v>vaishurambh28@gmail.com</v>
          </cell>
        </row>
        <row r="388">
          <cell r="A388" t="str">
            <v>kavyasri.bevara@gmail.com</v>
          </cell>
        </row>
        <row r="389">
          <cell r="A389" t="str">
            <v>veerababuvasana9479@gmail.com</v>
          </cell>
        </row>
        <row r="390">
          <cell r="A390" t="str">
            <v>mounicavanapalli2001@gmail.com</v>
          </cell>
        </row>
        <row r="391">
          <cell r="A391" t="str">
            <v>anilsai290@gmail.com</v>
          </cell>
        </row>
        <row r="392">
          <cell r="A392" t="str">
            <v>kranthikumarreddy9235@gmail.com</v>
          </cell>
        </row>
        <row r="393">
          <cell r="A393" t="str">
            <v>avinashmatcha18@gmail.com</v>
          </cell>
        </row>
        <row r="394">
          <cell r="A394" t="str">
            <v>kumartrendy10@gmail.com</v>
          </cell>
        </row>
        <row r="395">
          <cell r="A395" t="str">
            <v>yerikes11@gmail.com</v>
          </cell>
        </row>
        <row r="396">
          <cell r="A396" t="str">
            <v>tarunkumar93911@gmail.com</v>
          </cell>
        </row>
        <row r="397">
          <cell r="A397" t="str">
            <v>devisaisujitha50@gmail.com</v>
          </cell>
        </row>
        <row r="398">
          <cell r="A398" t="str">
            <v>saireddymahesh@gmail.com</v>
          </cell>
        </row>
        <row r="399">
          <cell r="A399" t="str">
            <v>nanisubramanyam40@gmail.com</v>
          </cell>
        </row>
        <row r="400">
          <cell r="A400" t="str">
            <v>vishnusri108@gmail.com</v>
          </cell>
        </row>
        <row r="401">
          <cell r="A401" t="str">
            <v>madepallijohn21@gmail.com</v>
          </cell>
        </row>
        <row r="402">
          <cell r="A402" t="str">
            <v>priyaamitha9@gmail.com</v>
          </cell>
        </row>
        <row r="403">
          <cell r="A403" t="str">
            <v>veerababuaelisetti@gmail.com</v>
          </cell>
        </row>
        <row r="404">
          <cell r="A404" t="str">
            <v>lankaupendra34@gmail.com</v>
          </cell>
        </row>
        <row r="405">
          <cell r="A405" t="str">
            <v>sandhyasandadi16@gmail.com</v>
          </cell>
        </row>
        <row r="406">
          <cell r="A406" t="str">
            <v>bhavana210g@gmail.com</v>
          </cell>
        </row>
        <row r="407">
          <cell r="A407" t="str">
            <v>patnanajyoshnareddy@gmail.com</v>
          </cell>
        </row>
        <row r="408">
          <cell r="A408" t="str">
            <v>amruthagrace12721@gmail.com</v>
          </cell>
        </row>
        <row r="409">
          <cell r="A409" t="str">
            <v>Priyanka55singanapalli@gmail.com</v>
          </cell>
        </row>
        <row r="410">
          <cell r="A410" t="str">
            <v>bhagyasree3001@gmail.com</v>
          </cell>
        </row>
        <row r="411">
          <cell r="A411" t="str">
            <v>Satyasaiss31@gmail.com</v>
          </cell>
        </row>
        <row r="412">
          <cell r="A412" t="str">
            <v>manikumarmanikumar4039@gmail.com</v>
          </cell>
        </row>
        <row r="413">
          <cell r="A413" t="str">
            <v>sekharswamireddy9459@gmail.com</v>
          </cell>
        </row>
        <row r="414">
          <cell r="A414" t="str">
            <v>varuntejabbireddi@gmail.com</v>
          </cell>
        </row>
        <row r="415">
          <cell r="A415" t="str">
            <v>manasavechalapu05@gmail.com</v>
          </cell>
        </row>
        <row r="416">
          <cell r="A416" t="str">
            <v>manideepikakudupudi@gmail.com</v>
          </cell>
        </row>
        <row r="417">
          <cell r="A417" t="str">
            <v>harshitanalla9@gmail.com</v>
          </cell>
        </row>
        <row r="418">
          <cell r="A418" t="str">
            <v>binnunelli@gmail.com</v>
          </cell>
        </row>
        <row r="419">
          <cell r="A419" t="str">
            <v>ballahsnagavaraprasad2001@gmail.com</v>
          </cell>
        </row>
        <row r="420">
          <cell r="A420" t="str">
            <v>babithalankalapalli7601@gmail.com</v>
          </cell>
        </row>
        <row r="421">
          <cell r="A421" t="str">
            <v>manikantakaruparthi789@gmail.com</v>
          </cell>
        </row>
        <row r="422">
          <cell r="A422" t="str">
            <v>guthulasravani345@gmail.com</v>
          </cell>
        </row>
        <row r="423">
          <cell r="A423" t="str">
            <v>srividyamattaparthi1@gmail.com</v>
          </cell>
        </row>
        <row r="424">
          <cell r="A424" t="str">
            <v>sahithichinta123@gmail.com</v>
          </cell>
        </row>
        <row r="425">
          <cell r="A425" t="str">
            <v>ashokna4n5@gmail.com</v>
          </cell>
        </row>
        <row r="426">
          <cell r="A426" t="str">
            <v>tarunkanthrock@gmail.com</v>
          </cell>
        </row>
        <row r="427">
          <cell r="A427" t="str">
            <v>sravankumarravada2000@gmail.com</v>
          </cell>
        </row>
        <row r="428">
          <cell r="A428" t="str">
            <v>omekrishna9912880767@gmail.com</v>
          </cell>
        </row>
        <row r="429">
          <cell r="A429" t="str">
            <v>venkatkota2002@gmail.com</v>
          </cell>
        </row>
        <row r="430">
          <cell r="A430" t="str">
            <v>ksai86037@gmail.com</v>
          </cell>
        </row>
        <row r="431">
          <cell r="A431" t="str">
            <v>balu53995@gmail.com</v>
          </cell>
        </row>
        <row r="432">
          <cell r="A432" t="str">
            <v>manikantaswamy925@gmail.com</v>
          </cell>
        </row>
        <row r="433">
          <cell r="A433" t="str">
            <v>sadiharshareddy@gmail.com</v>
          </cell>
        </row>
        <row r="434">
          <cell r="A434" t="str">
            <v>charanasreegandeti@gmail.com</v>
          </cell>
        </row>
        <row r="435">
          <cell r="A435" t="str">
            <v>ramsandeep.busala@gmail.com</v>
          </cell>
        </row>
        <row r="436">
          <cell r="A436" t="str">
            <v>kishorechakka963@gmail.com</v>
          </cell>
        </row>
        <row r="437">
          <cell r="A437" t="str">
            <v>jyothipolaki10@gmail.com</v>
          </cell>
        </row>
        <row r="438">
          <cell r="A438" t="str">
            <v>aljsamma24092001@gmail.com</v>
          </cell>
        </row>
        <row r="439">
          <cell r="A439" t="str">
            <v>jayanthbothra987@gmail.com</v>
          </cell>
        </row>
        <row r="440">
          <cell r="A440" t="str">
            <v>kotasravani41@gmail.com</v>
          </cell>
        </row>
        <row r="441">
          <cell r="A441" t="str">
            <v>Satyanandmarrisetti@gmail.com</v>
          </cell>
        </row>
        <row r="442">
          <cell r="A442" t="str">
            <v>thandrothulaharika@gmail.com</v>
          </cell>
        </row>
        <row r="443">
          <cell r="A443" t="str">
            <v>tannupanwar17@gmail.com</v>
          </cell>
        </row>
        <row r="444">
          <cell r="A444" t="str">
            <v>keerthigompa305@gmail.com</v>
          </cell>
        </row>
        <row r="445">
          <cell r="A445" t="str">
            <v>thippabhotlasowmyasri@gmail.com</v>
          </cell>
        </row>
        <row r="446">
          <cell r="A446" t="str">
            <v>bhuvanasree6580@gmail.com</v>
          </cell>
        </row>
        <row r="447">
          <cell r="A447" t="str">
            <v>thrilokyabankuru@gmail.com</v>
          </cell>
        </row>
        <row r="448">
          <cell r="A448" t="str">
            <v>varshithavarshi07@gmail.com</v>
          </cell>
        </row>
        <row r="449">
          <cell r="A449" t="str">
            <v>RAJRK8225@GMAIL.COM</v>
          </cell>
        </row>
        <row r="450">
          <cell r="A450" t="str">
            <v>chandini1240@gmail.com</v>
          </cell>
        </row>
        <row r="451">
          <cell r="A451" t="str">
            <v>varshathirumareddy@gmail.com</v>
          </cell>
        </row>
        <row r="452">
          <cell r="A452" t="str">
            <v>woonnaharipriya0611@gmail.com</v>
          </cell>
        </row>
        <row r="453">
          <cell r="A453" t="str">
            <v>polamarasettydeepika1802@gmail.com</v>
          </cell>
        </row>
        <row r="454">
          <cell r="A454" t="str">
            <v>jahnavitanakala01@gmail.com</v>
          </cell>
        </row>
        <row r="455">
          <cell r="A455" t="str">
            <v>swarnapolamarasetty@gmail.com</v>
          </cell>
        </row>
        <row r="456">
          <cell r="A456" t="str">
            <v>srinidhigontu@gmail.com</v>
          </cell>
        </row>
        <row r="457">
          <cell r="A457" t="str">
            <v>mandurimanikanta5@gmail.com</v>
          </cell>
        </row>
        <row r="458">
          <cell r="A458" t="str">
            <v>varsha7bavisetti@gmail.com</v>
          </cell>
        </row>
        <row r="459">
          <cell r="A459" t="str">
            <v>afrinnikkat2002@gmail.com</v>
          </cell>
        </row>
        <row r="460">
          <cell r="A460" t="str">
            <v>veeraganesh096@gmail.com</v>
          </cell>
        </row>
        <row r="461">
          <cell r="A461" t="str">
            <v>bhavyabhavi0891@gmail.com</v>
          </cell>
        </row>
        <row r="462">
          <cell r="A462" t="str">
            <v>krishnaharshaachu@gmail.com</v>
          </cell>
        </row>
        <row r="463">
          <cell r="A463" t="str">
            <v>assuvanu2730@gmail.com</v>
          </cell>
        </row>
        <row r="464">
          <cell r="A464" t="str">
            <v>merapureddiswathi033@gmail.com</v>
          </cell>
        </row>
        <row r="465">
          <cell r="A465" t="str">
            <v>vickykotteti@gmail.com</v>
          </cell>
        </row>
        <row r="466">
          <cell r="A466" t="str">
            <v>jayanthirakesh888@gmail.com</v>
          </cell>
        </row>
        <row r="467">
          <cell r="A467" t="str">
            <v>sheiknazima15@gmail.com</v>
          </cell>
        </row>
        <row r="468">
          <cell r="A468" t="str">
            <v>harshithac409@gmail.com</v>
          </cell>
        </row>
        <row r="469">
          <cell r="A469" t="str">
            <v>kaushal20.07.21@gmail.com</v>
          </cell>
        </row>
        <row r="470">
          <cell r="A470" t="str">
            <v>lavanya.bogi77@gmail.com</v>
          </cell>
        </row>
        <row r="471">
          <cell r="A471" t="str">
            <v>chandrikapilla36@gmail.com</v>
          </cell>
        </row>
        <row r="472">
          <cell r="A472" t="str">
            <v>divakardivakar57479@gmail.com</v>
          </cell>
        </row>
        <row r="473">
          <cell r="A473" t="str">
            <v>gajulapatireshma@gmail.com</v>
          </cell>
        </row>
        <row r="474">
          <cell r="A474" t="str">
            <v>chikatlaharinadh@gmail.com</v>
          </cell>
        </row>
        <row r="475">
          <cell r="A475" t="str">
            <v>naravakundana@gmail.com</v>
          </cell>
        </row>
        <row r="476">
          <cell r="A476" t="str">
            <v>kadaneelima@gmail.com</v>
          </cell>
        </row>
        <row r="477">
          <cell r="A477" t="str">
            <v>anjalinallana01@gmail.com</v>
          </cell>
        </row>
        <row r="478">
          <cell r="A478" t="str">
            <v>balasribitra13@gmail.com</v>
          </cell>
        </row>
        <row r="479">
          <cell r="A479" t="str">
            <v>udaykiransuggu5989@gmail.com</v>
          </cell>
        </row>
        <row r="480">
          <cell r="A480" t="str">
            <v>sravanthipatnala25@gmail.com</v>
          </cell>
        </row>
        <row r="481">
          <cell r="A481" t="str">
            <v>vamsivamaravilli12@gmail.com</v>
          </cell>
        </row>
        <row r="482">
          <cell r="A482" t="str">
            <v>akshayaommi@gmail.com</v>
          </cell>
        </row>
        <row r="483">
          <cell r="A483" t="str">
            <v>sreechandana426@gmail.com</v>
          </cell>
        </row>
        <row r="484">
          <cell r="A484" t="str">
            <v>shahnazparveen145@gmail.com</v>
          </cell>
        </row>
        <row r="485">
          <cell r="A485" t="str">
            <v>gayatridevi0521@gmail.com</v>
          </cell>
        </row>
        <row r="486">
          <cell r="A486" t="str">
            <v>sowmyakella2000@gmail.com</v>
          </cell>
        </row>
        <row r="487">
          <cell r="A487" t="str">
            <v>poojithapilla1607@gmail.com</v>
          </cell>
        </row>
        <row r="488">
          <cell r="A488" t="str">
            <v>kavyareetu1605@gmail.com</v>
          </cell>
        </row>
        <row r="489">
          <cell r="A489" t="str">
            <v>sanapalaanusha95@gmail.com</v>
          </cell>
        </row>
        <row r="490">
          <cell r="A490" t="str">
            <v>nadipenasravani@gmail.com</v>
          </cell>
        </row>
        <row r="491">
          <cell r="A491" t="str">
            <v>soumyagudapuri@gmail.com</v>
          </cell>
        </row>
        <row r="492">
          <cell r="A492" t="str">
            <v>sriram.m.pdt@gmail.com</v>
          </cell>
        </row>
        <row r="493">
          <cell r="A493" t="str">
            <v>meghanalopinti333@gmail.com</v>
          </cell>
        </row>
        <row r="494">
          <cell r="A494" t="str">
            <v>narisipuramhareesh@gmail.com</v>
          </cell>
        </row>
        <row r="495">
          <cell r="A495" t="str">
            <v>andukuruanjaniswathi@gmail.com</v>
          </cell>
        </row>
        <row r="496">
          <cell r="A496" t="str">
            <v>kurellabhavana9@gmail.com</v>
          </cell>
        </row>
        <row r="497">
          <cell r="A497" t="str">
            <v>adhi.talluri6702@gmail.com</v>
          </cell>
        </row>
        <row r="498">
          <cell r="A498" t="str">
            <v>attadavenkatasai@gmail.com</v>
          </cell>
        </row>
        <row r="499">
          <cell r="A499" t="str">
            <v>leelaranimunduru@gmail.com</v>
          </cell>
        </row>
        <row r="500">
          <cell r="A500" t="str">
            <v>reddyvarshini17@gmail.com</v>
          </cell>
        </row>
        <row r="501">
          <cell r="A501" t="str">
            <v>punnanasarika18@gmail.com</v>
          </cell>
        </row>
        <row r="502">
          <cell r="A502" t="str">
            <v>saisudheerunkili@gmail.com</v>
          </cell>
        </row>
        <row r="503">
          <cell r="A503" t="str">
            <v>suryakiransindiri2001@gmail.com</v>
          </cell>
        </row>
        <row r="504">
          <cell r="A504" t="str">
            <v>ammujashu116@gmail.com</v>
          </cell>
        </row>
        <row r="505">
          <cell r="A505" t="str">
            <v>krupacharan19@gmail.com</v>
          </cell>
        </row>
        <row r="506">
          <cell r="A506" t="str">
            <v>harikaanakapalli2002@gmail.com</v>
          </cell>
        </row>
        <row r="507">
          <cell r="A507" t="str">
            <v>ttarunsahu17@gmail.com</v>
          </cell>
        </row>
        <row r="508">
          <cell r="A508" t="str">
            <v>nsaiprasanna2001@gmail.com</v>
          </cell>
        </row>
        <row r="509">
          <cell r="A509" t="str">
            <v>tarun4455sai@gmail.com</v>
          </cell>
        </row>
        <row r="510">
          <cell r="A510" t="str">
            <v>kakikavya656@gmail.com</v>
          </cell>
        </row>
        <row r="511">
          <cell r="A511" t="str">
            <v>sasikumarpiriya2002@gmail.com</v>
          </cell>
        </row>
        <row r="512">
          <cell r="A512" t="str">
            <v>varanasisaranya20@gmail.com</v>
          </cell>
        </row>
        <row r="513">
          <cell r="A513" t="str">
            <v>golugurivvbgreddy@gmail.com</v>
          </cell>
        </row>
        <row r="514">
          <cell r="A514" t="str">
            <v>saikishore8310@gmail.com</v>
          </cell>
        </row>
        <row r="515">
          <cell r="A515" t="str">
            <v>karimisandhya0@gmail.com</v>
          </cell>
        </row>
        <row r="516">
          <cell r="A516" t="str">
            <v>podugumahesh2002@gmail.com</v>
          </cell>
        </row>
        <row r="517">
          <cell r="A517" t="str">
            <v>yogasaipotnuru@gmail.com</v>
          </cell>
        </row>
        <row r="518">
          <cell r="A518" t="str">
            <v>kunisettibhaskar1122@gmail.com</v>
          </cell>
        </row>
        <row r="519">
          <cell r="A519" t="str">
            <v>pappalatarunbabu@gmail.com</v>
          </cell>
        </row>
        <row r="520">
          <cell r="A520" t="str">
            <v>lenkabhargavi2003@gmail.com</v>
          </cell>
        </row>
        <row r="521">
          <cell r="A521" t="str">
            <v>sivanichinnu1432@gmail.com</v>
          </cell>
        </row>
        <row r="522">
          <cell r="A522" t="str">
            <v>indudharmana@gmail.com</v>
          </cell>
        </row>
        <row r="523">
          <cell r="A523" t="str">
            <v>hyndavisontyana@gmail.com</v>
          </cell>
        </row>
        <row r="524">
          <cell r="A524" t="str">
            <v>jahnavisunkari9@gmail.com</v>
          </cell>
        </row>
        <row r="525">
          <cell r="A525" t="str">
            <v>rohitkrishna440@gmail.com</v>
          </cell>
        </row>
        <row r="526">
          <cell r="A526" t="str">
            <v>bssmanohar1908@gmail.com</v>
          </cell>
        </row>
        <row r="527">
          <cell r="A527" t="str">
            <v>chintadavenkatapratap2002@gmail.com</v>
          </cell>
        </row>
        <row r="528">
          <cell r="A528" t="str">
            <v>bhavyasripattapagalu@gmail.com</v>
          </cell>
        </row>
        <row r="529">
          <cell r="A529" t="str">
            <v>visaalpradey@gmail.com</v>
          </cell>
        </row>
        <row r="530">
          <cell r="A530" t="str">
            <v>maddiupendra1432@gmail.com</v>
          </cell>
        </row>
        <row r="531">
          <cell r="A531" t="str">
            <v>hariputrim@gmail.com</v>
          </cell>
        </row>
        <row r="532">
          <cell r="A532" t="str">
            <v>ndhavala729@gmail.com</v>
          </cell>
        </row>
        <row r="533">
          <cell r="A533" t="str">
            <v>divyadumpa33@gmail.com</v>
          </cell>
        </row>
        <row r="534">
          <cell r="A534" t="str">
            <v>bharathsai865@gmail.com</v>
          </cell>
        </row>
        <row r="535">
          <cell r="A535" t="str">
            <v>suprajakorapaka@gmail.com</v>
          </cell>
        </row>
        <row r="536">
          <cell r="A536" t="str">
            <v>duvvusonu2@gmail.com</v>
          </cell>
        </row>
        <row r="537">
          <cell r="A537" t="str">
            <v>chandrikareddy1304@gmail.com</v>
          </cell>
        </row>
        <row r="538">
          <cell r="A538" t="str">
            <v>runkulilly@gmail.com</v>
          </cell>
        </row>
        <row r="539">
          <cell r="A539" t="str">
            <v>suryamanikanta9989@gmail.com</v>
          </cell>
        </row>
        <row r="540">
          <cell r="A540" t="str">
            <v>baratamjyothsna00@gmail.com</v>
          </cell>
        </row>
        <row r="541">
          <cell r="A541" t="str">
            <v>vennilapujari@gmail.com</v>
          </cell>
        </row>
        <row r="542">
          <cell r="A542" t="str">
            <v>srihajavvadi25@gmail.com</v>
          </cell>
        </row>
        <row r="543">
          <cell r="A543" t="str">
            <v>yasaswiganteti2001@gmail.com</v>
          </cell>
        </row>
        <row r="544">
          <cell r="A544" t="str">
            <v>swapnamenda1@gmail.com</v>
          </cell>
        </row>
        <row r="545">
          <cell r="A545" t="str">
            <v>vysyarajurupadevi@gmail.com</v>
          </cell>
        </row>
        <row r="546">
          <cell r="A546" t="str">
            <v>apoorvainapakurti@gmail.com</v>
          </cell>
        </row>
        <row r="547">
          <cell r="A547" t="str">
            <v>jhansiusha123@gmail.com</v>
          </cell>
        </row>
        <row r="548">
          <cell r="A548" t="str">
            <v>tulasianjuri8@gmail.com</v>
          </cell>
        </row>
        <row r="549">
          <cell r="A549" t="str">
            <v>divijaronanki@gmail.com</v>
          </cell>
        </row>
        <row r="550">
          <cell r="A550" t="str">
            <v>mohithgavara16@gmail.com</v>
          </cell>
        </row>
        <row r="551">
          <cell r="A551" t="str">
            <v>saikiraja@gmail.com</v>
          </cell>
        </row>
        <row r="552">
          <cell r="A552" t="str">
            <v>pallelausha18@gmail.com</v>
          </cell>
        </row>
        <row r="553">
          <cell r="A553" t="str">
            <v>sujithapatnaikk@gmail.com</v>
          </cell>
        </row>
        <row r="554">
          <cell r="A554" t="str">
            <v>sravanipaidi15@gmail.com</v>
          </cell>
        </row>
        <row r="555">
          <cell r="A555" t="str">
            <v>akashbehara2000@gmail.com</v>
          </cell>
        </row>
        <row r="556">
          <cell r="A556" t="str">
            <v>jyotshnavysyaraju02@gmail.com</v>
          </cell>
        </row>
        <row r="557">
          <cell r="A557" t="str">
            <v>lavanyaallu116@gmail.com</v>
          </cell>
        </row>
        <row r="558">
          <cell r="A558" t="str">
            <v>pydimounika2002@gmail.com</v>
          </cell>
        </row>
        <row r="559">
          <cell r="A559" t="str">
            <v>sruthigudla135@gmail.com</v>
          </cell>
        </row>
        <row r="560">
          <cell r="A560" t="str">
            <v>jamisravya4@gmail.com</v>
          </cell>
        </row>
        <row r="561">
          <cell r="A561" t="str">
            <v>radhaippili@gmail.com</v>
          </cell>
        </row>
        <row r="562">
          <cell r="A562" t="str">
            <v>venkychodarapu27@gmail.com</v>
          </cell>
        </row>
        <row r="563">
          <cell r="A563" t="str">
            <v>bhavanineelima611@gmail.com</v>
          </cell>
        </row>
        <row r="564">
          <cell r="A564" t="str">
            <v>khemasudharani@gmail.com</v>
          </cell>
        </row>
        <row r="565">
          <cell r="A565" t="str">
            <v>saivenkatesh8341@gmail.com</v>
          </cell>
        </row>
        <row r="566">
          <cell r="A566" t="str">
            <v>mounikasilla9123@gmail.com</v>
          </cell>
        </row>
        <row r="567">
          <cell r="A567" t="str">
            <v>chandrasekharanupoju2002@gmail.com</v>
          </cell>
        </row>
        <row r="568">
          <cell r="A568" t="str">
            <v>telukulaswetasree@gmail.com</v>
          </cell>
        </row>
        <row r="569">
          <cell r="A569" t="str">
            <v>yadagallashireesha@gmail.com</v>
          </cell>
        </row>
        <row r="570">
          <cell r="A570" t="str">
            <v>rajanikillamsetty422@gmail.com</v>
          </cell>
        </row>
        <row r="571">
          <cell r="A571" t="str">
            <v>kotladileep014@gmail.com</v>
          </cell>
        </row>
        <row r="572">
          <cell r="A572" t="str">
            <v>charishma166129@gmail.com</v>
          </cell>
        </row>
        <row r="573">
          <cell r="A573" t="str">
            <v>reddygreeshmaa@gmail.com</v>
          </cell>
        </row>
        <row r="574">
          <cell r="A574" t="str">
            <v>ramanikotana@gmail.com</v>
          </cell>
        </row>
        <row r="575">
          <cell r="A575" t="str">
            <v>sandhyaranipenki@gmail.com</v>
          </cell>
        </row>
        <row r="576">
          <cell r="A576" t="str">
            <v>santoshikarakavalasa@gmail.com</v>
          </cell>
        </row>
        <row r="577">
          <cell r="A577" t="str">
            <v>ramyakomanapalli57@gmail.com</v>
          </cell>
        </row>
        <row r="578">
          <cell r="A578" t="str">
            <v>sumagayathrikonala9393@gmail.com</v>
          </cell>
        </row>
        <row r="579">
          <cell r="A579" t="str">
            <v>ravipallisatyaveni2002@gmail.com</v>
          </cell>
        </row>
        <row r="580">
          <cell r="A580" t="str">
            <v>vasudevmolleti2001@gmail.com</v>
          </cell>
        </row>
        <row r="581">
          <cell r="A581" t="str">
            <v>reddy.tejeswari8@gmail.com</v>
          </cell>
        </row>
        <row r="582">
          <cell r="A582" t="str">
            <v>swathi270702@gmail.com</v>
          </cell>
        </row>
        <row r="583">
          <cell r="A583" t="str">
            <v>tanguduswarupa@gmail.com</v>
          </cell>
        </row>
        <row r="584">
          <cell r="A584" t="str">
            <v>ramyabhagyasri@gmail.com</v>
          </cell>
        </row>
        <row r="585">
          <cell r="A585" t="str">
            <v>devayanijallepalli@gmail.com</v>
          </cell>
        </row>
        <row r="586">
          <cell r="A586" t="str">
            <v>merakakaruna@gmail.com</v>
          </cell>
        </row>
        <row r="587">
          <cell r="A587" t="str">
            <v>ssowjanyadevalingam@gmail.com</v>
          </cell>
        </row>
        <row r="588">
          <cell r="A588" t="str">
            <v>sindhusindhuja60634@gmail.com</v>
          </cell>
        </row>
        <row r="589">
          <cell r="A589" t="str">
            <v>amarapualekhya@gmail.com</v>
          </cell>
        </row>
        <row r="590">
          <cell r="A590" t="str">
            <v>Ramyarada3003@gmail.com</v>
          </cell>
        </row>
        <row r="591">
          <cell r="A591" t="str">
            <v>dharaniungati1@gmail.com</v>
          </cell>
        </row>
        <row r="592">
          <cell r="A592" t="str">
            <v>ramakrishnachakka1@gmail.com</v>
          </cell>
        </row>
        <row r="593">
          <cell r="A593" t="str">
            <v>kuruhurupoojitha@gmail.com</v>
          </cell>
        </row>
        <row r="594">
          <cell r="A594" t="str">
            <v>dannanagayatri123@gmail.com</v>
          </cell>
        </row>
        <row r="595">
          <cell r="A595" t="str">
            <v>kantubhukthagowthami@gmail.com</v>
          </cell>
        </row>
        <row r="596">
          <cell r="A596" t="str">
            <v>kalagarlakusuma@gmail.com</v>
          </cell>
        </row>
        <row r="597">
          <cell r="A597" t="str">
            <v>venkateshvenky1013@gmail.com</v>
          </cell>
        </row>
        <row r="598">
          <cell r="A598" t="str">
            <v>anushaganugula2@gmail.com</v>
          </cell>
        </row>
        <row r="599">
          <cell r="A599" t="str">
            <v>pavansambangi36@gmail.com</v>
          </cell>
        </row>
        <row r="600">
          <cell r="A600" t="str">
            <v>sm7601832@gmail.com</v>
          </cell>
        </row>
        <row r="601">
          <cell r="A601" t="str">
            <v>killivineetha2001@gmail.com</v>
          </cell>
        </row>
        <row r="602">
          <cell r="A602" t="str">
            <v>gedelakrishnakishore@gmail.com</v>
          </cell>
        </row>
        <row r="603">
          <cell r="A603" t="str">
            <v>tdeekshith4@gmail.com</v>
          </cell>
        </row>
        <row r="604">
          <cell r="A604" t="str">
            <v>trivenireddy303@gmail.com</v>
          </cell>
        </row>
        <row r="605">
          <cell r="A605" t="str">
            <v>saisowmya3411@gmail.com</v>
          </cell>
        </row>
        <row r="606">
          <cell r="A606" t="str">
            <v>janaki1932002@gmail.com</v>
          </cell>
        </row>
        <row r="607">
          <cell r="A607" t="str">
            <v>krishnakumaripitta33@gmail.com</v>
          </cell>
        </row>
        <row r="608">
          <cell r="A608" t="str">
            <v>tharunmattapalli123@gmail.com</v>
          </cell>
        </row>
        <row r="609">
          <cell r="A609" t="str">
            <v>kesavanandinikommuju2002@gmail.com</v>
          </cell>
        </row>
        <row r="610">
          <cell r="A610" t="str">
            <v>kellasandhya2@gmail.com</v>
          </cell>
        </row>
        <row r="611">
          <cell r="A611" t="str">
            <v>isailokesh28@gmail.com</v>
          </cell>
        </row>
        <row r="612">
          <cell r="A612" t="str">
            <v>sasikumargedela9@gmail.com</v>
          </cell>
        </row>
        <row r="613">
          <cell r="A613" t="str">
            <v>saidheeksha1972@gmail.com</v>
          </cell>
        </row>
        <row r="614">
          <cell r="A614" t="str">
            <v>manojvardhan929@gmail.com</v>
          </cell>
        </row>
        <row r="615">
          <cell r="A615" t="str">
            <v>vasavisatyasri1012@gmail.com</v>
          </cell>
        </row>
        <row r="616">
          <cell r="A616" t="str">
            <v>sruthipydi333@gmail.com</v>
          </cell>
        </row>
        <row r="617">
          <cell r="A617" t="str">
            <v>kamireddyvidya@gmail.com</v>
          </cell>
        </row>
        <row r="618">
          <cell r="A618" t="str">
            <v>tejasreejami12@gmail.com</v>
          </cell>
        </row>
        <row r="619">
          <cell r="A619" t="str">
            <v>vasavikumaridannana@gmail.com</v>
          </cell>
        </row>
        <row r="620">
          <cell r="A620" t="str">
            <v>shalinishaza@gmail.com</v>
          </cell>
        </row>
        <row r="621">
          <cell r="A621" t="str">
            <v>trivaliranga@gmail.com</v>
          </cell>
        </row>
        <row r="622">
          <cell r="A622" t="str">
            <v>Shreyavoleti123@gmail.com</v>
          </cell>
        </row>
        <row r="623">
          <cell r="A623" t="str">
            <v>kotanamallika@gmail.com</v>
          </cell>
        </row>
        <row r="624">
          <cell r="A624" t="str">
            <v>geethayarra@gmail.com</v>
          </cell>
        </row>
        <row r="625">
          <cell r="A625" t="str">
            <v>velecherulaasy@gmail.com</v>
          </cell>
        </row>
        <row r="626">
          <cell r="A626" t="str">
            <v>hazarakhatoon198@gmail.com</v>
          </cell>
        </row>
        <row r="627">
          <cell r="A627" t="str">
            <v>seeramgnanakushmitha@gmail.com</v>
          </cell>
        </row>
        <row r="628">
          <cell r="A628" t="str">
            <v>sandhyapotnuru13@gmail.com</v>
          </cell>
        </row>
        <row r="629">
          <cell r="A629" t="str">
            <v>chanikyapalisetty@gmail.com</v>
          </cell>
        </row>
        <row r="630">
          <cell r="A630" t="str">
            <v>ramyasreemvp@gmail.com</v>
          </cell>
        </row>
        <row r="631">
          <cell r="A631" t="str">
            <v>medapatirasmithareddy222@gmail.com</v>
          </cell>
        </row>
        <row r="632">
          <cell r="A632" t="str">
            <v>shyamalamalla352@gmail.com</v>
          </cell>
        </row>
        <row r="633">
          <cell r="A633" t="str">
            <v>psaisahiti@gmail.com</v>
          </cell>
        </row>
        <row r="634">
          <cell r="A634" t="str">
            <v>sowmimaddibhatla@gmail.com</v>
          </cell>
        </row>
        <row r="635">
          <cell r="A635" t="str">
            <v>harshithinjavarapu11@gmail.com</v>
          </cell>
        </row>
        <row r="636">
          <cell r="A636" t="str">
            <v>ellapuroopchand@gmail.com</v>
          </cell>
        </row>
        <row r="637">
          <cell r="A637" t="str">
            <v>hemadatti2058@gmail.com</v>
          </cell>
        </row>
        <row r="638">
          <cell r="A638" t="str">
            <v>gayathrithushara02@gmail.com</v>
          </cell>
        </row>
        <row r="639">
          <cell r="A639" t="str">
            <v>pavanbongu1621@gmail.com</v>
          </cell>
        </row>
        <row r="640">
          <cell r="A640" t="str">
            <v>manoharboddu2016@gmail.com</v>
          </cell>
        </row>
        <row r="641">
          <cell r="A641" t="str">
            <v>meetsitakumari@gmail.com</v>
          </cell>
        </row>
        <row r="642">
          <cell r="A642" t="str">
            <v>bkusuma1230@gmail.com</v>
          </cell>
        </row>
        <row r="643">
          <cell r="A643" t="str">
            <v>khyathireddy4112001@gmail.com</v>
          </cell>
        </row>
        <row r="644">
          <cell r="A644" t="str">
            <v>satishmps77@gmail.com</v>
          </cell>
        </row>
        <row r="645">
          <cell r="A645" t="str">
            <v>likithabera27@gmail.com</v>
          </cell>
        </row>
        <row r="646">
          <cell r="A646" t="str">
            <v>lakshmanketireddy@gmail.com</v>
          </cell>
        </row>
        <row r="647">
          <cell r="A647" t="str">
            <v>ayyappavarma333@gmail.com</v>
          </cell>
        </row>
        <row r="648">
          <cell r="A648" t="str">
            <v>tarunlucky67@gmail.com</v>
          </cell>
        </row>
        <row r="649">
          <cell r="A649" t="str">
            <v>sandhyawuyyuru02@gmail.com</v>
          </cell>
        </row>
        <row r="650">
          <cell r="A650" t="str">
            <v>vaishnavistp2002@gmail.com</v>
          </cell>
        </row>
        <row r="651">
          <cell r="A651" t="str">
            <v>kattarenuka32@gmail.com</v>
          </cell>
        </row>
        <row r="652">
          <cell r="A652" t="str">
            <v>Sindhurakanduri123@gmail.com</v>
          </cell>
        </row>
        <row r="653">
          <cell r="A653" t="str">
            <v>chkhyathi74@gmail.com</v>
          </cell>
        </row>
        <row r="654">
          <cell r="A654" t="str">
            <v>dmanasa091@gmail.com</v>
          </cell>
        </row>
        <row r="655">
          <cell r="A655" t="str">
            <v>nikhilpalanki67757@gmail.com</v>
          </cell>
        </row>
        <row r="656">
          <cell r="A656" t="str">
            <v>Kusumitataninki333@gmail.com</v>
          </cell>
        </row>
        <row r="657">
          <cell r="A657" t="str">
            <v>reshmacheeday04@gmail.com</v>
          </cell>
        </row>
        <row r="658">
          <cell r="A658" t="str">
            <v>amruthachebolu25@gmail.com</v>
          </cell>
        </row>
        <row r="659">
          <cell r="A659" t="str">
            <v>anishka.b19@gmail.com</v>
          </cell>
        </row>
        <row r="660">
          <cell r="A660" t="str">
            <v>ysnmallika@gmail.com</v>
          </cell>
        </row>
        <row r="661">
          <cell r="A661" t="str">
            <v>srilahari.madhuri@gmail.com</v>
          </cell>
        </row>
        <row r="662">
          <cell r="A662" t="str">
            <v>angelchintapalli@gmail.com</v>
          </cell>
        </row>
        <row r="663">
          <cell r="A663" t="str">
            <v>mukeshchowdary134@gmail.com</v>
          </cell>
        </row>
        <row r="664">
          <cell r="A664" t="str">
            <v>jabbarsayed29@gmail.com</v>
          </cell>
        </row>
        <row r="665">
          <cell r="A665" t="str">
            <v>renukeswaridevi123@gmail.com</v>
          </cell>
        </row>
        <row r="666">
          <cell r="A666" t="str">
            <v>kavyam8433@gmail.com</v>
          </cell>
        </row>
        <row r="667">
          <cell r="A667" t="str">
            <v>koorma8051@gmail.com</v>
          </cell>
        </row>
        <row r="668">
          <cell r="A668" t="str">
            <v>geesalabhavitha@gmail.com</v>
          </cell>
        </row>
        <row r="669">
          <cell r="A669" t="str">
            <v>kosurudhakshayani@gmail.com</v>
          </cell>
        </row>
        <row r="670">
          <cell r="A670" t="str">
            <v>chittachandini2002@gmail.com</v>
          </cell>
        </row>
        <row r="671">
          <cell r="A671" t="str">
            <v>ashatulasi2888@gmail.com</v>
          </cell>
        </row>
        <row r="672">
          <cell r="A672" t="str">
            <v>gayatrikoppisetti5@gmail.com</v>
          </cell>
        </row>
        <row r="673">
          <cell r="A673" t="str">
            <v>pilliprasanna78@gmail.com</v>
          </cell>
        </row>
        <row r="674">
          <cell r="A674" t="str">
            <v>sainirupamavadisetti@gmail.com</v>
          </cell>
        </row>
        <row r="675">
          <cell r="A675" t="str">
            <v>jatayuvuchandana@gmail.com</v>
          </cell>
        </row>
        <row r="676">
          <cell r="A676" t="str">
            <v>akkinikkala21@gmail.com</v>
          </cell>
        </row>
        <row r="677">
          <cell r="A677" t="str">
            <v>rajachodisetti2001@gmail.com</v>
          </cell>
        </row>
        <row r="678">
          <cell r="A678" t="str">
            <v>harshitha.putsala@gmail.com</v>
          </cell>
        </row>
        <row r="679">
          <cell r="A679" t="str">
            <v>chvenkatasai2001@gmail.com</v>
          </cell>
        </row>
        <row r="680">
          <cell r="A680" t="str">
            <v>madhuribadana9849@gmail.com</v>
          </cell>
        </row>
        <row r="681">
          <cell r="A681" t="str">
            <v>lohithallampalli@gmail.com</v>
          </cell>
        </row>
        <row r="682">
          <cell r="A682" t="str">
            <v>anilpatnala14@gmail.com</v>
          </cell>
        </row>
        <row r="683">
          <cell r="A683" t="str">
            <v>sirichandanaduddi@gmail.com</v>
          </cell>
        </row>
        <row r="684">
          <cell r="A684" t="str">
            <v>sakethvarma622@gmail.com</v>
          </cell>
        </row>
        <row r="685">
          <cell r="A685" t="str">
            <v>janakipaila421@gmail.com</v>
          </cell>
        </row>
        <row r="686">
          <cell r="A686" t="str">
            <v>rukmini.rd01@gmail.com</v>
          </cell>
        </row>
        <row r="687">
          <cell r="A687" t="str">
            <v>bhargavbotta@gmail.com</v>
          </cell>
        </row>
        <row r="688">
          <cell r="A688" t="str">
            <v>sasidhar07122001@gmail.com</v>
          </cell>
        </row>
        <row r="689">
          <cell r="A689" t="str">
            <v>vijjiganapavarapu26@gmail.com</v>
          </cell>
        </row>
        <row r="690">
          <cell r="A690" t="str">
            <v>vedadivya123@gmail.com</v>
          </cell>
        </row>
        <row r="691">
          <cell r="A691" t="str">
            <v>varaprasadallada2001@gmail.com</v>
          </cell>
        </row>
        <row r="692">
          <cell r="A692" t="str">
            <v>vamsikrishnaambadipudi1@gmail.com</v>
          </cell>
        </row>
        <row r="693">
          <cell r="A693" t="str">
            <v>vamsighantasala7656@gmail.com</v>
          </cell>
        </row>
        <row r="694">
          <cell r="A694" t="str">
            <v>thoramveerasai@gmail.com</v>
          </cell>
        </row>
        <row r="695">
          <cell r="A695" t="str">
            <v>tarunreddy9010@gmail.com</v>
          </cell>
        </row>
        <row r="696">
          <cell r="A696" t="str">
            <v>sudheertatikayala111@gmail.com</v>
          </cell>
        </row>
        <row r="697">
          <cell r="A697" t="str">
            <v>sritulasi333@gmail.com</v>
          </cell>
        </row>
        <row r="698">
          <cell r="A698" t="str">
            <v>srichaitanyareddyabbireddyadck@gmail.com</v>
          </cell>
        </row>
        <row r="699">
          <cell r="A699" t="str">
            <v>Sri.anupama1119@gmail.com</v>
          </cell>
        </row>
        <row r="700">
          <cell r="A700" t="str">
            <v>somunadipalli1026@gmail.com</v>
          </cell>
        </row>
        <row r="701">
          <cell r="A701" t="str">
            <v>shyamalaranimdugula@gmail.com</v>
          </cell>
        </row>
        <row r="702">
          <cell r="A702" t="str">
            <v>satyanayudu2001@gmail.com</v>
          </cell>
        </row>
        <row r="703">
          <cell r="A703" t="str">
            <v>satyamedepalli3020@gmail.com</v>
          </cell>
        </row>
        <row r="704">
          <cell r="A704" t="str">
            <v>sattidurgareddy9000@gmail.com</v>
          </cell>
        </row>
        <row r="705">
          <cell r="A705" t="str">
            <v>saranyabandreddy@gmail.com</v>
          </cell>
        </row>
        <row r="706">
          <cell r="A706" t="str">
            <v>saivenkat513katta@gmail.com</v>
          </cell>
        </row>
        <row r="707">
          <cell r="A707" t="str">
            <v>saisaripella@gmail.com</v>
          </cell>
        </row>
        <row r="708">
          <cell r="A708" t="str">
            <v>saicheepuri12@gmail.com</v>
          </cell>
        </row>
        <row r="709">
          <cell r="A709" t="str">
            <v>ramyarani298@gmail.com</v>
          </cell>
        </row>
        <row r="710">
          <cell r="A710" t="str">
            <v>rajeshkarri004@gmail.com</v>
          </cell>
        </row>
        <row r="711">
          <cell r="A711" t="str">
            <v>prathyusha98padala@gmail.com</v>
          </cell>
        </row>
        <row r="712">
          <cell r="A712" t="str">
            <v>praneethanittala14@gmail.com</v>
          </cell>
        </row>
        <row r="713">
          <cell r="A713" t="str">
            <v>pillivaishnavi018@gmail.com</v>
          </cell>
        </row>
        <row r="714">
          <cell r="A714" t="str">
            <v>penke82000@gmai.com</v>
          </cell>
        </row>
        <row r="715">
          <cell r="A715" t="str">
            <v>nandurimanasagayatri@gmail.com</v>
          </cell>
        </row>
        <row r="716">
          <cell r="A716" t="str">
            <v>nagakoushikpedapudi@gmail.com</v>
          </cell>
        </row>
        <row r="717">
          <cell r="A717" t="str">
            <v>matchasridhar@gmail.com</v>
          </cell>
        </row>
        <row r="718">
          <cell r="A718" t="str">
            <v>marellaprasad44@gmail.com</v>
          </cell>
        </row>
        <row r="719">
          <cell r="A719" t="str">
            <v>madhutapaswi@gmail.com</v>
          </cell>
        </row>
        <row r="720">
          <cell r="A720" t="str">
            <v>likithakoppisetti@gmail.com</v>
          </cell>
        </row>
        <row r="721">
          <cell r="A721" t="str">
            <v>lakshmimanojameenavalli@gmail.com</v>
          </cell>
        </row>
        <row r="722">
          <cell r="A722" t="str">
            <v>keerthikatta011@gmail.com</v>
          </cell>
        </row>
        <row r="723">
          <cell r="A723" t="str">
            <v>kdurgabhavani1409@gmail.com</v>
          </cell>
        </row>
        <row r="724">
          <cell r="A724" t="str">
            <v>kavyaanju645@gmail.com</v>
          </cell>
        </row>
        <row r="725">
          <cell r="A725" t="str">
            <v>kadimikarunyajyothi@gmail.com</v>
          </cell>
        </row>
        <row r="726">
          <cell r="A726" t="str">
            <v>jyosthnapenumalle@gmail.com</v>
          </cell>
        </row>
        <row r="727">
          <cell r="A727" t="str">
            <v>JAYAPRAKASH9681@GMAIL.COM</v>
          </cell>
        </row>
        <row r="728">
          <cell r="A728" t="str">
            <v>jakkakrishnaprasad123@gmail.com</v>
          </cell>
        </row>
        <row r="729">
          <cell r="A729" t="str">
            <v>hemanthtadi68@gmail.com</v>
          </cell>
        </row>
        <row r="730">
          <cell r="A730" t="str">
            <v>gowthamjureddy833@gmail.com</v>
          </cell>
        </row>
        <row r="731">
          <cell r="A731" t="str">
            <v>devibharathi013@gmail.com</v>
          </cell>
        </row>
        <row r="732">
          <cell r="A732" t="str">
            <v>chinmayasahithi20@gmail.com</v>
          </cell>
        </row>
        <row r="733">
          <cell r="A733" t="str">
            <v>bindumadhavarapu4@gmail.com</v>
          </cell>
        </row>
        <row r="734">
          <cell r="A734" t="str">
            <v>bhavyasrichadalada123@gmail.com</v>
          </cell>
        </row>
        <row r="735">
          <cell r="A735" t="str">
            <v>badiganticharanteja202@gmail.com</v>
          </cell>
        </row>
        <row r="736">
          <cell r="A736" t="str">
            <v>anjaliniharika1501@gmail.com</v>
          </cell>
        </row>
        <row r="737">
          <cell r="A737" t="str">
            <v>858dhara@gmail.com</v>
          </cell>
        </row>
        <row r="738">
          <cell r="A738" t="str">
            <v>manishachinni2001@gmail.com</v>
          </cell>
        </row>
        <row r="739">
          <cell r="A739" t="str">
            <v>anithasupriya4@gmail.com</v>
          </cell>
        </row>
        <row r="740">
          <cell r="A740" t="str">
            <v>prasanthichollangi2@gmail.com</v>
          </cell>
        </row>
        <row r="741">
          <cell r="A741" t="str">
            <v>greeshmalatha1518@gmail.com</v>
          </cell>
        </row>
        <row r="742">
          <cell r="A742" t="str">
            <v>saraswathimohanty082@gmail.com</v>
          </cell>
        </row>
        <row r="743">
          <cell r="A743" t="str">
            <v>ashishyadav4959@gmail.com</v>
          </cell>
        </row>
        <row r="744">
          <cell r="A744" t="str">
            <v>sindhuoff08@gmail.com</v>
          </cell>
        </row>
        <row r="745">
          <cell r="A745" t="str">
            <v>pacchikurateja@gmail.com</v>
          </cell>
        </row>
        <row r="746">
          <cell r="A746" t="str">
            <v>anakapallianand@gmail.com</v>
          </cell>
        </row>
        <row r="747">
          <cell r="A747" t="str">
            <v>sreshtamushni@gmail.com</v>
          </cell>
        </row>
        <row r="748">
          <cell r="A748" t="str">
            <v>harishperla00@gmail.com</v>
          </cell>
        </row>
        <row r="749">
          <cell r="A749" t="str">
            <v>srisaisaketh999@gmail.com</v>
          </cell>
        </row>
        <row r="750">
          <cell r="A750" t="str">
            <v>md.parvez1435@gmail.com</v>
          </cell>
        </row>
        <row r="751">
          <cell r="A751" t="str">
            <v>anithadesalanka2002@gmail.com</v>
          </cell>
        </row>
        <row r="752">
          <cell r="A752" t="str">
            <v>lavanyad2002@gmail.com</v>
          </cell>
        </row>
        <row r="753">
          <cell r="A753" t="str">
            <v>saichakraveniganji@gmail.com</v>
          </cell>
        </row>
        <row r="754">
          <cell r="A754" t="str">
            <v>saibhaskar1100@gmail.com</v>
          </cell>
        </row>
        <row r="755">
          <cell r="A755" t="str">
            <v>hemanthashok111@gmail.com</v>
          </cell>
        </row>
        <row r="756">
          <cell r="A756" t="str">
            <v>harikagrandhi9@gmail.com</v>
          </cell>
        </row>
        <row r="757">
          <cell r="A757" t="str">
            <v>prudhviprudhvipennada@gmail.com</v>
          </cell>
        </row>
        <row r="758">
          <cell r="A758" t="str">
            <v>padagajyothi@gmail.com</v>
          </cell>
        </row>
        <row r="759">
          <cell r="A759" t="str">
            <v>kavyaramachandran20@gmail.com</v>
          </cell>
        </row>
        <row r="760">
          <cell r="A760" t="str">
            <v>kmounika131001@gmail.com</v>
          </cell>
        </row>
        <row r="761">
          <cell r="A761" t="str">
            <v>sunkaradevi990@gmail.com</v>
          </cell>
        </row>
        <row r="762">
          <cell r="A762" t="str">
            <v>nsvr.suryarao9@gmail.com</v>
          </cell>
        </row>
        <row r="763">
          <cell r="A763" t="str">
            <v>sirichandanakhandavilli@gmail.com</v>
          </cell>
        </row>
        <row r="764">
          <cell r="A764" t="str">
            <v>narukurthirajitha@gmail.com</v>
          </cell>
        </row>
        <row r="765">
          <cell r="A765" t="str">
            <v>bhavishya.k2002@gmail.com</v>
          </cell>
        </row>
        <row r="766">
          <cell r="A766" t="str">
            <v>meghanakudupudi01@gmail.com</v>
          </cell>
        </row>
        <row r="767">
          <cell r="A767" t="str">
            <v>indukurinishitha@gmail.com</v>
          </cell>
        </row>
        <row r="768">
          <cell r="A768" t="str">
            <v>p.s.teja2232@gmail.com</v>
          </cell>
        </row>
        <row r="769">
          <cell r="A769" t="str">
            <v>gayatrinalam2904@gmail.com</v>
          </cell>
        </row>
        <row r="770">
          <cell r="A770" t="str">
            <v>nalinimadagala59@gmail.com</v>
          </cell>
        </row>
        <row r="771">
          <cell r="A771" t="str">
            <v>lakshmisai0408@gmail.com</v>
          </cell>
        </row>
        <row r="772">
          <cell r="A772" t="str">
            <v>padmayedida41@gmail.com</v>
          </cell>
        </row>
        <row r="773">
          <cell r="A773" t="str">
            <v>geddadapoornima@gmail.com</v>
          </cell>
        </row>
        <row r="774">
          <cell r="A774" t="str">
            <v>sushrithamushini01@gmail.com</v>
          </cell>
        </row>
        <row r="775">
          <cell r="A775" t="str">
            <v>aashup999@gmail.com</v>
          </cell>
        </row>
        <row r="776">
          <cell r="A776" t="str">
            <v>reshmaakula678@gmail.com</v>
          </cell>
        </row>
        <row r="777">
          <cell r="A777" t="str">
            <v>sriharshabatchu1@gmail.com</v>
          </cell>
        </row>
        <row r="778">
          <cell r="A778" t="str">
            <v>tharunisiripalli@gmail.com</v>
          </cell>
        </row>
        <row r="779">
          <cell r="A779" t="str">
            <v>appalareddy1975@gmail.com</v>
          </cell>
        </row>
        <row r="780">
          <cell r="A780" t="str">
            <v>mounikaguttula10@gmail.com</v>
          </cell>
        </row>
        <row r="781">
          <cell r="A781" t="str">
            <v>bhargavitatikayala@gmail.com</v>
          </cell>
        </row>
        <row r="782">
          <cell r="A782" t="str">
            <v>rajrahul2838@gmail.com</v>
          </cell>
        </row>
        <row r="783">
          <cell r="A783" t="str">
            <v>amruthakarumuri99@gmail.com</v>
          </cell>
        </row>
        <row r="784">
          <cell r="A784" t="str">
            <v>rajithasanaboina999@gmail.com</v>
          </cell>
        </row>
        <row r="785">
          <cell r="A785" t="str">
            <v>bhavanisankar797@gmail.com</v>
          </cell>
        </row>
        <row r="786">
          <cell r="A786" t="str">
            <v>sridevidulam12@gmail.com</v>
          </cell>
        </row>
        <row r="787">
          <cell r="A787" t="str">
            <v>kirthi5743@gmail.com</v>
          </cell>
        </row>
        <row r="788">
          <cell r="A788" t="str">
            <v>tanujauppuluri17@gmail.com</v>
          </cell>
        </row>
        <row r="789">
          <cell r="A789" t="str">
            <v>anjalilavakusa123@gmail.com</v>
          </cell>
        </row>
        <row r="790">
          <cell r="A790" t="str">
            <v>yasaswi2122@gmail.com</v>
          </cell>
        </row>
        <row r="791">
          <cell r="A791" t="str">
            <v>suradasravani20022002@gmail.com</v>
          </cell>
        </row>
        <row r="792">
          <cell r="A792" t="str">
            <v>anitharednam107@gmail.com</v>
          </cell>
        </row>
        <row r="793">
          <cell r="A793" t="str">
            <v>sowmyapalukuri77@gmail.com</v>
          </cell>
        </row>
        <row r="794">
          <cell r="A794" t="str">
            <v>saimeghana.narala123@gmail.com</v>
          </cell>
        </row>
        <row r="795">
          <cell r="A795" t="str">
            <v>nalamsneha@gmail.com</v>
          </cell>
        </row>
        <row r="796">
          <cell r="A796" t="str">
            <v>mallavarapudevika8380@gmail.com</v>
          </cell>
        </row>
        <row r="797">
          <cell r="A797" t="str">
            <v>iampadmashree@gmail.com</v>
          </cell>
        </row>
        <row r="798">
          <cell r="A798" t="str">
            <v>gangabhulakshmi2901@gmail.com</v>
          </cell>
        </row>
        <row r="799">
          <cell r="A799" t="str">
            <v>jakkanavaishnavi7@gmail.com</v>
          </cell>
        </row>
        <row r="800">
          <cell r="A800" t="str">
            <v>malavikagamidi@gmail.com</v>
          </cell>
        </row>
        <row r="801">
          <cell r="A801" t="str">
            <v>dunnadivya183@gmail.com</v>
          </cell>
        </row>
        <row r="802">
          <cell r="A802" t="str">
            <v>boniindrani22@gmail.com</v>
          </cell>
        </row>
        <row r="803">
          <cell r="A803" t="str">
            <v>sivanibongu80@gmail.com</v>
          </cell>
        </row>
        <row r="804">
          <cell r="A804" t="str">
            <v>pravallika0203@gmail.com</v>
          </cell>
        </row>
        <row r="805">
          <cell r="A805" t="str">
            <v>leenasri713@gmail.com</v>
          </cell>
        </row>
        <row r="806">
          <cell r="A806" t="str">
            <v>keerthisrinu677@gmail.com</v>
          </cell>
        </row>
        <row r="807">
          <cell r="A807" t="str">
            <v>taneesha1217@gmail.com</v>
          </cell>
        </row>
        <row r="808">
          <cell r="A808" t="str">
            <v>supriyaswarupa1619@gmail.com</v>
          </cell>
        </row>
        <row r="809">
          <cell r="A809" t="str">
            <v>sravyapreddi@gmail.com</v>
          </cell>
        </row>
        <row r="810">
          <cell r="A810" t="str">
            <v>jyothirmayimandapati@gmail.com</v>
          </cell>
        </row>
        <row r="811">
          <cell r="A811" t="str">
            <v>sharmilakosireddy38@gmail.com</v>
          </cell>
        </row>
        <row r="812">
          <cell r="A812" t="str">
            <v>kondetisowjanya2628@gmail.com</v>
          </cell>
        </row>
        <row r="813">
          <cell r="A813" t="str">
            <v>kommojumounikasri254@gmail.com</v>
          </cell>
        </row>
        <row r="814">
          <cell r="A814" t="str">
            <v>leelasowmya18@gmail.com</v>
          </cell>
        </row>
        <row r="815">
          <cell r="A815" t="str">
            <v>babylavanya250@gmail.com</v>
          </cell>
        </row>
        <row r="816">
          <cell r="A816" t="str">
            <v>jsreeramya@gmail.com</v>
          </cell>
        </row>
        <row r="817">
          <cell r="A817" t="str">
            <v>sweety110hd@gmail.com</v>
          </cell>
        </row>
        <row r="818">
          <cell r="A818" t="str">
            <v>chavvakulalavanya2001@gmail.com</v>
          </cell>
        </row>
        <row r="819">
          <cell r="A819" t="str">
            <v>neeharika1642002@gmail.com</v>
          </cell>
        </row>
        <row r="820">
          <cell r="A820" t="str">
            <v>vijaypadmakar1999@gmail.com</v>
          </cell>
        </row>
        <row r="821">
          <cell r="A821" t="str">
            <v>vemagiriudaykumar9@gmail.com</v>
          </cell>
        </row>
        <row r="822">
          <cell r="A822" t="str">
            <v>murali.talari1999@gmail.com</v>
          </cell>
        </row>
        <row r="823">
          <cell r="A823" t="str">
            <v>trishapynda@gmail.com</v>
          </cell>
        </row>
        <row r="824">
          <cell r="A824" t="str">
            <v>MOULIPALEPU@GMAIL.COM</v>
          </cell>
        </row>
        <row r="825">
          <cell r="A825" t="str">
            <v>tarunreddy0751@gmail.com</v>
          </cell>
        </row>
        <row r="826">
          <cell r="A826" t="str">
            <v>pavanshanmukhaveer8p@gmail.com</v>
          </cell>
        </row>
        <row r="827">
          <cell r="A827" t="str">
            <v>rajeshlokareddy25@gmail.com</v>
          </cell>
        </row>
        <row r="828">
          <cell r="A828" t="str">
            <v>geetanjalikondepudi@gmail.com</v>
          </cell>
        </row>
        <row r="829">
          <cell r="A829" t="str">
            <v>princeangelkattu@gmail.com</v>
          </cell>
        </row>
        <row r="830">
          <cell r="A830" t="str">
            <v>srisaiakhila7779@gmail.com</v>
          </cell>
        </row>
        <row r="831">
          <cell r="A831" t="str">
            <v>jhansidegala2002@gmail.com</v>
          </cell>
        </row>
        <row r="832">
          <cell r="A832" t="str">
            <v>dasarideepthimeghana20@gmail.com</v>
          </cell>
        </row>
        <row r="833">
          <cell r="A833" t="str">
            <v>pradeeprajch97@gmail.com</v>
          </cell>
        </row>
        <row r="834">
          <cell r="A834" t="str">
            <v>chodevidhin22@gmail.com</v>
          </cell>
        </row>
        <row r="835">
          <cell r="A835" t="str">
            <v>bezawadapavanrohith@gmail.com</v>
          </cell>
        </row>
        <row r="836">
          <cell r="A836" t="str">
            <v>tagoreathikela123@gmail.com</v>
          </cell>
        </row>
        <row r="837">
          <cell r="A837" t="str">
            <v>srivishnukarthik123@gmail.com</v>
          </cell>
        </row>
        <row r="838">
          <cell r="A838" t="str">
            <v>kalyanavani1539@gmail.com</v>
          </cell>
        </row>
        <row r="839">
          <cell r="A839" t="str">
            <v>manikantapenta1@gmail.com</v>
          </cell>
        </row>
        <row r="840">
          <cell r="A840" t="str">
            <v>bhagyalaxmimycharla08@gmail.com</v>
          </cell>
        </row>
        <row r="841">
          <cell r="A841" t="str">
            <v>kollisatya4912@gmail.com</v>
          </cell>
        </row>
        <row r="842">
          <cell r="A842" t="str">
            <v>kolanagapavankumar@gmail.com</v>
          </cell>
        </row>
        <row r="843">
          <cell r="A843" t="str">
            <v>dharanikusumasreelaya@gmail.com</v>
          </cell>
        </row>
        <row r="844">
          <cell r="A844" t="str">
            <v>pavanjuthuga123@gmail.com</v>
          </cell>
        </row>
        <row r="845">
          <cell r="A845" t="str">
            <v>shiva968adck@gmail.com</v>
          </cell>
        </row>
        <row r="846">
          <cell r="A846" t="str">
            <v>manikantainti14@gmail.com</v>
          </cell>
        </row>
        <row r="847">
          <cell r="A847" t="str">
            <v>nagadivya735@gmail.com</v>
          </cell>
        </row>
        <row r="848">
          <cell r="A848" t="str">
            <v>sivakumar.alchi@gmail.com</v>
          </cell>
        </row>
        <row r="849">
          <cell r="A849" t="str">
            <v>vrssssriram@gmail.com</v>
          </cell>
        </row>
        <row r="850">
          <cell r="A850" t="str">
            <v>tirmareddytushar@gmail.com</v>
          </cell>
        </row>
        <row r="851">
          <cell r="A851" t="str">
            <v>haari0201@gmail.com</v>
          </cell>
        </row>
        <row r="852">
          <cell r="A852" t="str">
            <v>saisiva16july@gmail.com</v>
          </cell>
        </row>
        <row r="853">
          <cell r="A853" t="str">
            <v>dhanushrayavarapu0106@gmail.com</v>
          </cell>
        </row>
        <row r="854">
          <cell r="A854" t="str">
            <v>pothumudisravy12345@gmail.com</v>
          </cell>
        </row>
        <row r="855">
          <cell r="A855" t="str">
            <v>nbmkrishna96@gmail.com</v>
          </cell>
        </row>
        <row r="856">
          <cell r="A856" t="str">
            <v>vamsin583@gmail.com</v>
          </cell>
        </row>
        <row r="857">
          <cell r="A857" t="str">
            <v>mylipillisathyasivasai147@gmail.com</v>
          </cell>
        </row>
        <row r="858">
          <cell r="A858" t="str">
            <v>gayathrimummidi714@gmail.com</v>
          </cell>
        </row>
        <row r="859">
          <cell r="A859" t="str">
            <v>KESAVKUMAR823@GMAIL.COM</v>
          </cell>
        </row>
        <row r="860">
          <cell r="A860" t="str">
            <v>mohammedbasheer0107@gmail.com</v>
          </cell>
        </row>
        <row r="861">
          <cell r="A861" t="str">
            <v>govindswamykunapureddy123@gmail.com</v>
          </cell>
        </row>
        <row r="862">
          <cell r="A862" t="str">
            <v>yaswanthkorukonda2001@gmail.com</v>
          </cell>
        </row>
        <row r="863">
          <cell r="A863" t="str">
            <v>phanikondamuri@gmail.com</v>
          </cell>
        </row>
        <row r="864">
          <cell r="A864" t="str">
            <v>hemasreekolaparthi19@gmail.com</v>
          </cell>
        </row>
        <row r="865">
          <cell r="A865" t="str">
            <v>chaithanyakatta99@gmail.com</v>
          </cell>
        </row>
        <row r="866">
          <cell r="A866" t="str">
            <v>venkyk3736@gmail.com</v>
          </cell>
        </row>
        <row r="867">
          <cell r="A867" t="str">
            <v>gbhanuprakash962@gmail.com</v>
          </cell>
        </row>
        <row r="868">
          <cell r="A868" t="str">
            <v>davuluri901@gmail.com</v>
          </cell>
        </row>
        <row r="869">
          <cell r="A869" t="str">
            <v>lavanyachinta28@gmail.com</v>
          </cell>
        </row>
        <row r="870">
          <cell r="A870" t="str">
            <v>brajeshbarla7234@gmail.com</v>
          </cell>
        </row>
        <row r="871">
          <cell r="A871" t="str">
            <v>ganeshveeramanikanta01@gmail.com</v>
          </cell>
        </row>
        <row r="872">
          <cell r="A872" t="str">
            <v>yelurinamratha20@gmail.com</v>
          </cell>
        </row>
        <row r="873">
          <cell r="A873" t="str">
            <v>vvdrsvasavi@gmail.com</v>
          </cell>
        </row>
        <row r="874">
          <cell r="A874" t="str">
            <v>tarunsaisrisurya125@gmail.com</v>
          </cell>
        </row>
        <row r="875">
          <cell r="A875" t="str">
            <v>anithavanjarapu2021@gmail.com</v>
          </cell>
        </row>
        <row r="876">
          <cell r="A876" t="str">
            <v>manijanuchanti@gmail.com</v>
          </cell>
        </row>
        <row r="877">
          <cell r="A877" t="str">
            <v>likithsagar97344@gmail.com</v>
          </cell>
        </row>
        <row r="878">
          <cell r="A878" t="str">
            <v>harshitatadala@gmail.com</v>
          </cell>
        </row>
        <row r="879">
          <cell r="A879" t="str">
            <v>dayanandasagar7143@gmail.com</v>
          </cell>
        </row>
        <row r="880">
          <cell r="A880" t="str">
            <v>raghuvarmacric777@gmail.com</v>
          </cell>
        </row>
        <row r="881">
          <cell r="A881" t="str">
            <v>sandyrongali143@gmail.com</v>
          </cell>
        </row>
        <row r="882">
          <cell r="A882" t="str">
            <v>vandanareddem685@gmail.com</v>
          </cell>
        </row>
        <row r="883">
          <cell r="A883" t="str">
            <v>akshayapuram08@gmail.com</v>
          </cell>
        </row>
        <row r="884">
          <cell r="A884" t="str">
            <v>nookarathnampothabathula@gmail.com</v>
          </cell>
        </row>
        <row r="885">
          <cell r="A885" t="str">
            <v>satishpeketi60@gmail.com</v>
          </cell>
        </row>
        <row r="886">
          <cell r="A886" t="str">
            <v>shreyap333m@gmail.com</v>
          </cell>
        </row>
        <row r="887">
          <cell r="A887" t="str">
            <v>navyapasumarthi02@gmail.com</v>
          </cell>
        </row>
        <row r="888">
          <cell r="A888" t="str">
            <v>lathasri2102@gmail.com</v>
          </cell>
        </row>
        <row r="889">
          <cell r="A889" t="str">
            <v>vandhananeelam4@gmail.com</v>
          </cell>
        </row>
        <row r="890">
          <cell r="A890" t="str">
            <v>prathibhanatireddy@gmail.com</v>
          </cell>
        </row>
        <row r="891">
          <cell r="A891" t="str">
            <v>ashrithamopuri@gmail.com</v>
          </cell>
        </row>
        <row r="892">
          <cell r="A892" t="str">
            <v>sugara78691@gmail.com</v>
          </cell>
        </row>
        <row r="893">
          <cell r="A893" t="str">
            <v>mouni.mini.10@gmail.com</v>
          </cell>
        </row>
        <row r="894">
          <cell r="A894" t="str">
            <v>SirishaMaragani888@gmail.com</v>
          </cell>
        </row>
        <row r="895">
          <cell r="A895" t="str">
            <v>mtntejaswini@gmail.com</v>
          </cell>
        </row>
        <row r="896">
          <cell r="A896" t="str">
            <v>mandapalliraju28@gmail.com</v>
          </cell>
        </row>
        <row r="897">
          <cell r="A897" t="str">
            <v>anushamamidianu@gmail.com</v>
          </cell>
        </row>
        <row r="898">
          <cell r="A898" t="str">
            <v>subbiram331@gmail.com</v>
          </cell>
        </row>
        <row r="899">
          <cell r="A899" t="str">
            <v>praneethkeerthi2@gmail.com</v>
          </cell>
        </row>
        <row r="900">
          <cell r="A900" t="str">
            <v>RUSHITHAKARUPOTHULA@GMAIL.COM</v>
          </cell>
        </row>
        <row r="901">
          <cell r="A901" t="str">
            <v>saivagdevikakarapalli8@gmail.com</v>
          </cell>
        </row>
        <row r="902">
          <cell r="A902" t="str">
            <v>kadaveerasatyasai@gmail.com</v>
          </cell>
        </row>
        <row r="903">
          <cell r="A903" t="str">
            <v>satyasaij2000@gmail.com</v>
          </cell>
        </row>
        <row r="904">
          <cell r="A904" t="str">
            <v>geethagummala6@gmail.com</v>
          </cell>
        </row>
        <row r="905">
          <cell r="A905" t="str">
            <v>gvvsmk.22@gmail.com</v>
          </cell>
        </row>
        <row r="906">
          <cell r="A906" t="str">
            <v>ss2795281@gmail.com</v>
          </cell>
        </row>
        <row r="907">
          <cell r="A907" t="str">
            <v>satyaananya2002@gmail.com</v>
          </cell>
        </row>
        <row r="908">
          <cell r="A908" t="str">
            <v>phanitaragalla@gmail.com</v>
          </cell>
        </row>
        <row r="909">
          <cell r="A909" t="str">
            <v>chitikela.algp@gmail.com</v>
          </cell>
        </row>
        <row r="910">
          <cell r="A910" t="str">
            <v>pallavi.chinthakula@gmail.com</v>
          </cell>
        </row>
        <row r="911">
          <cell r="A911" t="str">
            <v>niharikawinna@gmail.com</v>
          </cell>
        </row>
        <row r="912">
          <cell r="A912" t="str">
            <v>bitraharish11@gmail.com</v>
          </cell>
        </row>
        <row r="913">
          <cell r="A913" t="str">
            <v>devendraram7799@gmail.com</v>
          </cell>
        </row>
        <row r="914">
          <cell r="A914" t="str">
            <v>mohanampolu2001@gmail.com</v>
          </cell>
        </row>
        <row r="915">
          <cell r="A915" t="str">
            <v>saimadhuri725@gmail.com</v>
          </cell>
        </row>
        <row r="916">
          <cell r="A916" t="str">
            <v>abbireddysumaanusha491@gmail.com</v>
          </cell>
        </row>
        <row r="917">
          <cell r="A917" t="str">
            <v>abbireddydevipravallika@gmail.com</v>
          </cell>
        </row>
        <row r="918">
          <cell r="A918" t="str">
            <v>suryavinayyenduri@gmail.com</v>
          </cell>
        </row>
        <row r="919">
          <cell r="A919" t="str">
            <v>yallamounikasupriya@gmail.com</v>
          </cell>
        </row>
        <row r="920">
          <cell r="A920" t="str">
            <v>pawankumarvenna0213@gmail.com</v>
          </cell>
        </row>
        <row r="921">
          <cell r="A921" t="str">
            <v>devisrivelisetti@gmail.com</v>
          </cell>
        </row>
        <row r="922">
          <cell r="A922" t="str">
            <v>divyasrisatyavasamsetti@gmail.com</v>
          </cell>
        </row>
        <row r="923">
          <cell r="A923" t="str">
            <v>srianuhya.varupula@gmail.com</v>
          </cell>
        </row>
        <row r="924">
          <cell r="A924" t="str">
            <v>vaddadihariprakash@gmail.com</v>
          </cell>
        </row>
        <row r="925">
          <cell r="A925" t="str">
            <v>umadevikakantipudi1432@gmail.com</v>
          </cell>
        </row>
        <row r="926">
          <cell r="A926" t="str">
            <v>lokeshtelagarapu3690@gmail.com</v>
          </cell>
        </row>
        <row r="927">
          <cell r="A927" t="str">
            <v>skbhasha970@gmail.com</v>
          </cell>
        </row>
        <row r="928">
          <cell r="A928" t="str">
            <v>prasadsenamsetti501@gmail.com</v>
          </cell>
        </row>
        <row r="929">
          <cell r="A929" t="str">
            <v>saladiharshitha8@gmail.com</v>
          </cell>
        </row>
        <row r="930">
          <cell r="A930" t="str">
            <v>sai143.rejected@gmail.com</v>
          </cell>
        </row>
        <row r="931">
          <cell r="A931" t="str">
            <v>bhuvaneswarirayud@gmail.com</v>
          </cell>
        </row>
        <row r="932">
          <cell r="A932" t="str">
            <v>deepuravada32@gmail.com</v>
          </cell>
        </row>
        <row r="933">
          <cell r="A933" t="str">
            <v>gowthamnanda284@gmail.com</v>
          </cell>
        </row>
        <row r="934">
          <cell r="A934" t="str">
            <v>rakurthirajkumar000@gmail.com</v>
          </cell>
        </row>
        <row r="935">
          <cell r="A935" t="str">
            <v>poothigeethakalyani2001@gmail.com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dhya" refreshedDate="45981.885519212963" createdVersion="8" refreshedVersion="8" minRefreshableVersion="3" recordCount="171" xr:uid="{44F8D8EB-06B5-4780-B1EA-FCDBF1B3B7E3}">
  <cacheSource type="worksheet">
    <worksheetSource ref="A1:K172" sheet="Sheet4"/>
  </cacheSource>
  <cacheFields count="11">
    <cacheField name="Month" numFmtId="14">
      <sharedItems count="12">
        <s v="Jan"/>
        <s v="Feb"/>
        <s v="Mar"/>
        <s v="April"/>
        <s v="May"/>
        <s v="June"/>
        <s v="July"/>
        <s v="Aug"/>
        <s v="Sept"/>
        <s v="Oct"/>
        <s v="Nov"/>
        <s v="Dec"/>
      </sharedItems>
    </cacheField>
    <cacheField name="Transaction Number" numFmtId="165">
      <sharedItems containsSemiMixedTypes="0" containsString="0" containsNumber="1" containsInteger="1" minValue="1001" maxValue="1171"/>
    </cacheField>
    <cacheField name="Product Code" numFmtId="0">
      <sharedItems containsSemiMixedTypes="0" containsString="0" containsNumber="1" containsInteger="1" minValue="1109" maxValue="9822"/>
    </cacheField>
    <cacheField name="Product Description" numFmtId="0">
      <sharedItems count="10">
        <s v="Pool Cover"/>
        <s v="Net"/>
        <s v="8 ft Hose"/>
        <s v="Water Pump"/>
        <s v="Chlorine Test Kit"/>
        <s v="Skimmer"/>
        <s v="1 Gal Muratic Acid"/>
        <s v="AutoVac"/>
        <s v="Algea Killer 8 oz"/>
        <s v="5 Gal Chlorine"/>
      </sharedItems>
    </cacheField>
    <cacheField name="Store Cost" numFmtId="166">
      <sharedItems containsSemiMixedTypes="0" containsString="0" containsNumber="1" minValue="3" maxValue="344"/>
    </cacheField>
    <cacheField name="Sale Price" numFmtId="166">
      <sharedItems containsSemiMixedTypes="0" containsString="0" containsNumber="1" minValue="7" maxValue="502"/>
    </cacheField>
    <cacheField name="Profit" numFmtId="166">
      <sharedItems containsSemiMixedTypes="0" containsString="0" containsNumber="1" minValue="2.9999999999999991" maxValue="158"/>
    </cacheField>
    <cacheField name="Commision 10% for items less than $50and  20% for items ,more than 20%" numFmtId="166">
      <sharedItems containsSemiMixedTypes="0" containsString="0" containsNumber="1" minValue="0.29999999999999993" maxValue="31.6"/>
    </cacheField>
    <cacheField name="Sales" numFmtId="0">
      <sharedItems count="4">
        <s v="Chalie"/>
        <s v="Juan"/>
        <s v="Doug"/>
        <s v="Hellen"/>
      </sharedItems>
    </cacheField>
    <cacheField name="Person" numFmtId="0">
      <sharedItems count="4">
        <s v="Barns"/>
        <s v="Hernandez"/>
        <s v="Smith"/>
        <s v="Johnson"/>
      </sharedItems>
    </cacheField>
    <cacheField name="Sale Location" numFmtId="0">
      <sharedItems count="6">
        <s v="NM"/>
        <s v="CA"/>
        <s v="AZ"/>
        <s v="CO"/>
        <s v="NV"/>
        <s v="U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x v="0"/>
    <n v="1001"/>
    <n v="9822"/>
    <x v="0"/>
    <n v="58.3"/>
    <n v="98.4"/>
    <n v="40.100000000000009"/>
    <n v="8.0200000000000014"/>
    <x v="0"/>
    <x v="0"/>
    <x v="0"/>
  </r>
  <r>
    <x v="0"/>
    <n v="1002"/>
    <n v="2877"/>
    <x v="1"/>
    <n v="11.4"/>
    <n v="16.3"/>
    <n v="4.9000000000000004"/>
    <n v="0.49000000000000005"/>
    <x v="1"/>
    <x v="1"/>
    <x v="1"/>
  </r>
  <r>
    <x v="0"/>
    <n v="1003"/>
    <n v="2499"/>
    <x v="2"/>
    <n v="6.2"/>
    <n v="9.1999999999999993"/>
    <n v="2.9999999999999991"/>
    <n v="0.29999999999999993"/>
    <x v="2"/>
    <x v="2"/>
    <x v="2"/>
  </r>
  <r>
    <x v="0"/>
    <n v="1004"/>
    <n v="8722"/>
    <x v="3"/>
    <n v="344"/>
    <n v="502"/>
    <n v="158"/>
    <n v="31.6"/>
    <x v="0"/>
    <x v="0"/>
    <x v="2"/>
  </r>
  <r>
    <x v="0"/>
    <n v="1005"/>
    <n v="1109"/>
    <x v="4"/>
    <n v="3"/>
    <n v="8"/>
    <n v="5"/>
    <n v="0.5"/>
    <x v="2"/>
    <x v="2"/>
    <x v="2"/>
  </r>
  <r>
    <x v="0"/>
    <n v="1006"/>
    <n v="9822"/>
    <x v="0"/>
    <n v="58.3"/>
    <n v="98.4"/>
    <n v="40.100000000000009"/>
    <n v="8.0200000000000014"/>
    <x v="2"/>
    <x v="2"/>
    <x v="2"/>
  </r>
  <r>
    <x v="0"/>
    <n v="1007"/>
    <n v="1109"/>
    <x v="4"/>
    <n v="3"/>
    <n v="8"/>
    <n v="5"/>
    <n v="0.5"/>
    <x v="3"/>
    <x v="3"/>
    <x v="0"/>
  </r>
  <r>
    <x v="0"/>
    <n v="1008"/>
    <n v="2877"/>
    <x v="1"/>
    <n v="11.4"/>
    <n v="16.3"/>
    <n v="4.9000000000000004"/>
    <n v="0.49000000000000005"/>
    <x v="2"/>
    <x v="2"/>
    <x v="0"/>
  </r>
  <r>
    <x v="0"/>
    <n v="1009"/>
    <n v="1109"/>
    <x v="4"/>
    <n v="3"/>
    <n v="8"/>
    <n v="5"/>
    <n v="0.5"/>
    <x v="2"/>
    <x v="2"/>
    <x v="2"/>
  </r>
  <r>
    <x v="0"/>
    <n v="1010"/>
    <n v="2877"/>
    <x v="1"/>
    <n v="11.4"/>
    <n v="16.3"/>
    <n v="4.9000000000000004"/>
    <n v="0.49000000000000005"/>
    <x v="1"/>
    <x v="1"/>
    <x v="3"/>
  </r>
  <r>
    <x v="0"/>
    <n v="1011"/>
    <n v="2877"/>
    <x v="1"/>
    <n v="11.4"/>
    <n v="16.3"/>
    <n v="4.9000000000000004"/>
    <n v="0.49000000000000005"/>
    <x v="1"/>
    <x v="1"/>
    <x v="2"/>
  </r>
  <r>
    <x v="0"/>
    <n v="1012"/>
    <n v="4421"/>
    <x v="5"/>
    <n v="45"/>
    <n v="87"/>
    <n v="42"/>
    <n v="8.4"/>
    <x v="2"/>
    <x v="2"/>
    <x v="0"/>
  </r>
  <r>
    <x v="0"/>
    <n v="1013"/>
    <n v="9212"/>
    <x v="6"/>
    <n v="4"/>
    <n v="7"/>
    <n v="3"/>
    <n v="0.30000000000000004"/>
    <x v="3"/>
    <x v="3"/>
    <x v="3"/>
  </r>
  <r>
    <x v="0"/>
    <n v="1014"/>
    <n v="8722"/>
    <x v="3"/>
    <n v="344"/>
    <n v="502"/>
    <n v="158"/>
    <n v="31.6"/>
    <x v="0"/>
    <x v="0"/>
    <x v="1"/>
  </r>
  <r>
    <x v="0"/>
    <n v="1015"/>
    <n v="2877"/>
    <x v="1"/>
    <n v="11.4"/>
    <n v="16.3"/>
    <n v="4.9000000000000004"/>
    <n v="0.49000000000000005"/>
    <x v="3"/>
    <x v="3"/>
    <x v="2"/>
  </r>
  <r>
    <x v="0"/>
    <n v="1016"/>
    <n v="2499"/>
    <x v="2"/>
    <n v="6.2"/>
    <n v="9.1999999999999993"/>
    <n v="2.9999999999999991"/>
    <n v="0.29999999999999993"/>
    <x v="2"/>
    <x v="2"/>
    <x v="1"/>
  </r>
  <r>
    <x v="1"/>
    <n v="1017"/>
    <n v="2242"/>
    <x v="7"/>
    <n v="60"/>
    <n v="124"/>
    <n v="64"/>
    <n v="12.8"/>
    <x v="1"/>
    <x v="1"/>
    <x v="0"/>
  </r>
  <r>
    <x v="1"/>
    <n v="1018"/>
    <n v="1109"/>
    <x v="4"/>
    <n v="3"/>
    <n v="8"/>
    <n v="5"/>
    <n v="0.5"/>
    <x v="2"/>
    <x v="2"/>
    <x v="1"/>
  </r>
  <r>
    <x v="1"/>
    <n v="1019"/>
    <n v="2499"/>
    <x v="2"/>
    <n v="6.2"/>
    <n v="9.1999999999999993"/>
    <n v="2.9999999999999991"/>
    <n v="0.29999999999999993"/>
    <x v="2"/>
    <x v="2"/>
    <x v="3"/>
  </r>
  <r>
    <x v="1"/>
    <n v="1020"/>
    <n v="2499"/>
    <x v="2"/>
    <n v="6.2"/>
    <n v="9.1999999999999993"/>
    <n v="2.9999999999999991"/>
    <n v="0.29999999999999993"/>
    <x v="2"/>
    <x v="2"/>
    <x v="4"/>
  </r>
  <r>
    <x v="1"/>
    <n v="1021"/>
    <n v="1109"/>
    <x v="4"/>
    <n v="3"/>
    <n v="8"/>
    <n v="5"/>
    <n v="0.5"/>
    <x v="1"/>
    <x v="1"/>
    <x v="3"/>
  </r>
  <r>
    <x v="1"/>
    <n v="1022"/>
    <n v="2877"/>
    <x v="1"/>
    <n v="11.4"/>
    <n v="16.3"/>
    <n v="4.9000000000000004"/>
    <n v="0.49000000000000005"/>
    <x v="2"/>
    <x v="2"/>
    <x v="5"/>
  </r>
  <r>
    <x v="1"/>
    <n v="1023"/>
    <n v="1109"/>
    <x v="4"/>
    <n v="3"/>
    <n v="8"/>
    <n v="5"/>
    <n v="0.5"/>
    <x v="3"/>
    <x v="3"/>
    <x v="0"/>
  </r>
  <r>
    <x v="1"/>
    <n v="1024"/>
    <n v="9212"/>
    <x v="6"/>
    <n v="4"/>
    <n v="7"/>
    <n v="3"/>
    <n v="0.30000000000000004"/>
    <x v="1"/>
    <x v="1"/>
    <x v="5"/>
  </r>
  <r>
    <x v="1"/>
    <n v="1025"/>
    <n v="2877"/>
    <x v="1"/>
    <n v="11.4"/>
    <n v="16.3"/>
    <n v="4.9000000000000004"/>
    <n v="0.49000000000000005"/>
    <x v="3"/>
    <x v="3"/>
    <x v="4"/>
  </r>
  <r>
    <x v="1"/>
    <n v="1026"/>
    <n v="6119"/>
    <x v="8"/>
    <n v="9"/>
    <n v="14"/>
    <n v="5"/>
    <n v="0.5"/>
    <x v="3"/>
    <x v="3"/>
    <x v="0"/>
  </r>
  <r>
    <x v="1"/>
    <n v="1027"/>
    <n v="6119"/>
    <x v="8"/>
    <n v="9"/>
    <n v="14"/>
    <n v="5"/>
    <n v="0.5"/>
    <x v="0"/>
    <x v="0"/>
    <x v="4"/>
  </r>
  <r>
    <x v="1"/>
    <n v="1028"/>
    <n v="8722"/>
    <x v="3"/>
    <n v="344"/>
    <n v="502"/>
    <n v="158"/>
    <n v="31.6"/>
    <x v="0"/>
    <x v="0"/>
    <x v="2"/>
  </r>
  <r>
    <x v="1"/>
    <n v="1029"/>
    <n v="2499"/>
    <x v="2"/>
    <n v="6.2"/>
    <n v="9.1999999999999993"/>
    <n v="2.9999999999999991"/>
    <n v="0.29999999999999993"/>
    <x v="1"/>
    <x v="1"/>
    <x v="2"/>
  </r>
  <r>
    <x v="1"/>
    <n v="1030"/>
    <n v="4421"/>
    <x v="5"/>
    <n v="45"/>
    <n v="87"/>
    <n v="42"/>
    <n v="8.4"/>
    <x v="1"/>
    <x v="1"/>
    <x v="4"/>
  </r>
  <r>
    <x v="1"/>
    <n v="1031"/>
    <n v="1109"/>
    <x v="4"/>
    <n v="3"/>
    <n v="8"/>
    <n v="5"/>
    <n v="0.5"/>
    <x v="1"/>
    <x v="1"/>
    <x v="1"/>
  </r>
  <r>
    <x v="1"/>
    <n v="1032"/>
    <n v="2877"/>
    <x v="1"/>
    <n v="11.4"/>
    <n v="16.3"/>
    <n v="4.9000000000000004"/>
    <n v="0.49000000000000005"/>
    <x v="0"/>
    <x v="0"/>
    <x v="2"/>
  </r>
  <r>
    <x v="1"/>
    <n v="1033"/>
    <n v="9822"/>
    <x v="0"/>
    <n v="58.3"/>
    <n v="98.4"/>
    <n v="40.100000000000009"/>
    <n v="8.0200000000000014"/>
    <x v="1"/>
    <x v="1"/>
    <x v="1"/>
  </r>
  <r>
    <x v="1"/>
    <n v="1034"/>
    <n v="2877"/>
    <x v="1"/>
    <n v="11.4"/>
    <n v="16.3"/>
    <n v="4.9000000000000004"/>
    <n v="0.49000000000000005"/>
    <x v="1"/>
    <x v="1"/>
    <x v="3"/>
  </r>
  <r>
    <x v="2"/>
    <n v="1035"/>
    <n v="2499"/>
    <x v="2"/>
    <n v="6.2"/>
    <n v="9.1999999999999993"/>
    <n v="2.9999999999999991"/>
    <n v="0.29999999999999993"/>
    <x v="3"/>
    <x v="3"/>
    <x v="1"/>
  </r>
  <r>
    <x v="2"/>
    <n v="1036"/>
    <n v="2499"/>
    <x v="2"/>
    <n v="6.2"/>
    <n v="9.1999999999999993"/>
    <n v="2.9999999999999991"/>
    <n v="0.29999999999999993"/>
    <x v="1"/>
    <x v="1"/>
    <x v="4"/>
  </r>
  <r>
    <x v="2"/>
    <n v="1037"/>
    <n v="6622"/>
    <x v="9"/>
    <n v="42"/>
    <n v="77"/>
    <n v="35"/>
    <n v="7"/>
    <x v="1"/>
    <x v="1"/>
    <x v="4"/>
  </r>
  <r>
    <x v="2"/>
    <n v="1038"/>
    <n v="2499"/>
    <x v="2"/>
    <n v="6.2"/>
    <n v="9.1999999999999993"/>
    <n v="2.9999999999999991"/>
    <n v="0.29999999999999993"/>
    <x v="1"/>
    <x v="1"/>
    <x v="4"/>
  </r>
  <r>
    <x v="2"/>
    <n v="1039"/>
    <n v="2877"/>
    <x v="1"/>
    <n v="11.4"/>
    <n v="16.3"/>
    <n v="4.9000000000000004"/>
    <n v="0.49000000000000005"/>
    <x v="1"/>
    <x v="1"/>
    <x v="1"/>
  </r>
  <r>
    <x v="2"/>
    <n v="1040"/>
    <n v="1109"/>
    <x v="4"/>
    <n v="3"/>
    <n v="8"/>
    <n v="5"/>
    <n v="0.5"/>
    <x v="1"/>
    <x v="1"/>
    <x v="2"/>
  </r>
  <r>
    <x v="2"/>
    <n v="1041"/>
    <n v="2499"/>
    <x v="2"/>
    <n v="6.2"/>
    <n v="9.1999999999999993"/>
    <n v="2.9999999999999991"/>
    <n v="0.29999999999999993"/>
    <x v="0"/>
    <x v="0"/>
    <x v="0"/>
  </r>
  <r>
    <x v="2"/>
    <n v="1042"/>
    <n v="8722"/>
    <x v="3"/>
    <n v="344"/>
    <n v="502"/>
    <n v="158"/>
    <n v="31.6"/>
    <x v="2"/>
    <x v="2"/>
    <x v="0"/>
  </r>
  <r>
    <x v="2"/>
    <n v="1043"/>
    <n v="2242"/>
    <x v="7"/>
    <n v="60"/>
    <n v="124"/>
    <n v="64"/>
    <n v="12.8"/>
    <x v="2"/>
    <x v="2"/>
    <x v="1"/>
  </r>
  <r>
    <x v="2"/>
    <n v="1044"/>
    <n v="2877"/>
    <x v="1"/>
    <n v="11.4"/>
    <n v="16.3"/>
    <n v="4.9000000000000004"/>
    <n v="0.49000000000000005"/>
    <x v="2"/>
    <x v="2"/>
    <x v="1"/>
  </r>
  <r>
    <x v="2"/>
    <n v="1045"/>
    <n v="8722"/>
    <x v="3"/>
    <n v="344"/>
    <n v="502"/>
    <n v="158"/>
    <n v="31.6"/>
    <x v="3"/>
    <x v="3"/>
    <x v="2"/>
  </r>
  <r>
    <x v="2"/>
    <n v="1046"/>
    <n v="6119"/>
    <x v="8"/>
    <n v="9"/>
    <n v="14"/>
    <n v="5"/>
    <n v="0.5"/>
    <x v="1"/>
    <x v="1"/>
    <x v="5"/>
  </r>
  <r>
    <x v="2"/>
    <n v="1047"/>
    <n v="6622"/>
    <x v="9"/>
    <n v="42"/>
    <n v="77"/>
    <n v="35"/>
    <n v="7"/>
    <x v="3"/>
    <x v="3"/>
    <x v="2"/>
  </r>
  <r>
    <x v="2"/>
    <n v="1048"/>
    <n v="8722"/>
    <x v="3"/>
    <n v="344"/>
    <n v="502"/>
    <n v="158"/>
    <n v="31.6"/>
    <x v="0"/>
    <x v="0"/>
    <x v="2"/>
  </r>
  <r>
    <x v="3"/>
    <n v="1049"/>
    <n v="2499"/>
    <x v="2"/>
    <n v="6.2"/>
    <n v="9.1999999999999993"/>
    <n v="2.9999999999999991"/>
    <n v="0.29999999999999993"/>
    <x v="0"/>
    <x v="0"/>
    <x v="3"/>
  </r>
  <r>
    <x v="3"/>
    <n v="1050"/>
    <n v="2877"/>
    <x v="1"/>
    <n v="11.4"/>
    <n v="16.3"/>
    <n v="4.9000000000000004"/>
    <n v="0.49000000000000005"/>
    <x v="0"/>
    <x v="0"/>
    <x v="2"/>
  </r>
  <r>
    <x v="3"/>
    <n v="1051"/>
    <n v="6119"/>
    <x v="8"/>
    <n v="9"/>
    <n v="14"/>
    <n v="5"/>
    <n v="0.5"/>
    <x v="2"/>
    <x v="2"/>
    <x v="5"/>
  </r>
  <r>
    <x v="3"/>
    <n v="1052"/>
    <n v="6622"/>
    <x v="9"/>
    <n v="42"/>
    <n v="77"/>
    <n v="35"/>
    <n v="7"/>
    <x v="2"/>
    <x v="2"/>
    <x v="2"/>
  </r>
  <r>
    <x v="3"/>
    <n v="1053"/>
    <n v="2242"/>
    <x v="7"/>
    <n v="60"/>
    <n v="124"/>
    <n v="64"/>
    <n v="12.8"/>
    <x v="0"/>
    <x v="0"/>
    <x v="1"/>
  </r>
  <r>
    <x v="3"/>
    <n v="1054"/>
    <n v="4421"/>
    <x v="5"/>
    <n v="45"/>
    <n v="87"/>
    <n v="42"/>
    <n v="8.4"/>
    <x v="2"/>
    <x v="2"/>
    <x v="4"/>
  </r>
  <r>
    <x v="3"/>
    <n v="1055"/>
    <n v="6119"/>
    <x v="8"/>
    <n v="9"/>
    <n v="14"/>
    <n v="5"/>
    <n v="0.5"/>
    <x v="1"/>
    <x v="1"/>
    <x v="4"/>
  </r>
  <r>
    <x v="3"/>
    <n v="1056"/>
    <n v="1109"/>
    <x v="4"/>
    <n v="3"/>
    <n v="8"/>
    <n v="5"/>
    <n v="0.5"/>
    <x v="2"/>
    <x v="2"/>
    <x v="1"/>
  </r>
  <r>
    <x v="3"/>
    <n v="1057"/>
    <n v="2499"/>
    <x v="2"/>
    <n v="6.2"/>
    <n v="9.1999999999999993"/>
    <n v="2.9999999999999991"/>
    <n v="0.29999999999999993"/>
    <x v="1"/>
    <x v="1"/>
    <x v="1"/>
  </r>
  <r>
    <x v="3"/>
    <n v="1058"/>
    <n v="6119"/>
    <x v="8"/>
    <n v="9"/>
    <n v="14"/>
    <n v="5"/>
    <n v="0.5"/>
    <x v="3"/>
    <x v="3"/>
    <x v="2"/>
  </r>
  <r>
    <x v="3"/>
    <n v="1059"/>
    <n v="2242"/>
    <x v="7"/>
    <n v="60"/>
    <n v="124"/>
    <n v="64"/>
    <n v="12.8"/>
    <x v="2"/>
    <x v="2"/>
    <x v="2"/>
  </r>
  <r>
    <x v="3"/>
    <n v="1060"/>
    <n v="6119"/>
    <x v="8"/>
    <n v="9"/>
    <n v="14"/>
    <n v="5"/>
    <n v="0.5"/>
    <x v="2"/>
    <x v="2"/>
    <x v="4"/>
  </r>
  <r>
    <x v="4"/>
    <n v="1061"/>
    <n v="1109"/>
    <x v="4"/>
    <n v="3"/>
    <n v="8"/>
    <n v="5"/>
    <n v="0.5"/>
    <x v="2"/>
    <x v="2"/>
    <x v="4"/>
  </r>
  <r>
    <x v="4"/>
    <n v="1062"/>
    <n v="2499"/>
    <x v="2"/>
    <n v="6.2"/>
    <n v="9.1999999999999993"/>
    <n v="2.9999999999999991"/>
    <n v="0.29999999999999993"/>
    <x v="0"/>
    <x v="0"/>
    <x v="2"/>
  </r>
  <r>
    <x v="4"/>
    <n v="1063"/>
    <n v="1109"/>
    <x v="4"/>
    <n v="3"/>
    <n v="8"/>
    <n v="5"/>
    <n v="0.5"/>
    <x v="2"/>
    <x v="2"/>
    <x v="1"/>
  </r>
  <r>
    <x v="4"/>
    <n v="1064"/>
    <n v="2499"/>
    <x v="2"/>
    <n v="6.2"/>
    <n v="9.1999999999999993"/>
    <n v="2.9999999999999991"/>
    <n v="0.29999999999999993"/>
    <x v="3"/>
    <x v="3"/>
    <x v="2"/>
  </r>
  <r>
    <x v="4"/>
    <n v="1065"/>
    <n v="2499"/>
    <x v="2"/>
    <n v="6.2"/>
    <n v="9.1999999999999993"/>
    <n v="2.9999999999999991"/>
    <n v="0.29999999999999993"/>
    <x v="2"/>
    <x v="2"/>
    <x v="0"/>
  </r>
  <r>
    <x v="4"/>
    <n v="1066"/>
    <n v="2877"/>
    <x v="1"/>
    <n v="11.4"/>
    <n v="16.3"/>
    <n v="4.9000000000000004"/>
    <n v="0.49000000000000005"/>
    <x v="2"/>
    <x v="2"/>
    <x v="4"/>
  </r>
  <r>
    <x v="4"/>
    <n v="1067"/>
    <n v="2877"/>
    <x v="1"/>
    <n v="11.4"/>
    <n v="16.3"/>
    <n v="4.9000000000000004"/>
    <n v="0.49000000000000005"/>
    <x v="2"/>
    <x v="2"/>
    <x v="5"/>
  </r>
  <r>
    <x v="4"/>
    <n v="1068"/>
    <n v="6119"/>
    <x v="8"/>
    <n v="9"/>
    <n v="14"/>
    <n v="5"/>
    <n v="0.5"/>
    <x v="1"/>
    <x v="1"/>
    <x v="1"/>
  </r>
  <r>
    <x v="4"/>
    <n v="1069"/>
    <n v="1109"/>
    <x v="4"/>
    <n v="3"/>
    <n v="8"/>
    <n v="5"/>
    <n v="0.5"/>
    <x v="2"/>
    <x v="2"/>
    <x v="2"/>
  </r>
  <r>
    <x v="4"/>
    <n v="1070"/>
    <n v="2499"/>
    <x v="2"/>
    <n v="6.2"/>
    <n v="9.1999999999999993"/>
    <n v="2.9999999999999991"/>
    <n v="0.29999999999999993"/>
    <x v="3"/>
    <x v="3"/>
    <x v="2"/>
  </r>
  <r>
    <x v="4"/>
    <n v="1071"/>
    <n v="1109"/>
    <x v="4"/>
    <n v="3"/>
    <n v="8"/>
    <n v="5"/>
    <n v="0.5"/>
    <x v="0"/>
    <x v="0"/>
    <x v="2"/>
  </r>
  <r>
    <x v="4"/>
    <n v="1072"/>
    <n v="1109"/>
    <x v="4"/>
    <n v="3"/>
    <n v="8"/>
    <n v="5"/>
    <n v="0.5"/>
    <x v="2"/>
    <x v="2"/>
    <x v="4"/>
  </r>
  <r>
    <x v="4"/>
    <n v="1073"/>
    <n v="6622"/>
    <x v="9"/>
    <n v="42"/>
    <n v="77"/>
    <n v="35"/>
    <n v="7"/>
    <x v="2"/>
    <x v="2"/>
    <x v="1"/>
  </r>
  <r>
    <x v="4"/>
    <n v="1074"/>
    <n v="2877"/>
    <x v="1"/>
    <n v="11.4"/>
    <n v="16.3"/>
    <n v="4.9000000000000004"/>
    <n v="0.49000000000000005"/>
    <x v="2"/>
    <x v="2"/>
    <x v="2"/>
  </r>
  <r>
    <x v="4"/>
    <n v="1075"/>
    <n v="1109"/>
    <x v="4"/>
    <n v="3"/>
    <n v="8"/>
    <n v="5"/>
    <n v="0.5"/>
    <x v="3"/>
    <x v="3"/>
    <x v="1"/>
  </r>
  <r>
    <x v="4"/>
    <n v="1076"/>
    <n v="1109"/>
    <x v="4"/>
    <n v="3"/>
    <n v="8"/>
    <n v="5"/>
    <n v="0.5"/>
    <x v="1"/>
    <x v="1"/>
    <x v="2"/>
  </r>
  <r>
    <x v="4"/>
    <n v="1077"/>
    <n v="9822"/>
    <x v="0"/>
    <n v="58.3"/>
    <n v="98.4"/>
    <n v="40.100000000000009"/>
    <n v="8.0200000000000014"/>
    <x v="3"/>
    <x v="3"/>
    <x v="2"/>
  </r>
  <r>
    <x v="4"/>
    <n v="1078"/>
    <n v="2877"/>
    <x v="1"/>
    <n v="11.4"/>
    <n v="16.3"/>
    <n v="4.9000000000000004"/>
    <n v="0.49000000000000005"/>
    <x v="1"/>
    <x v="1"/>
    <x v="4"/>
  </r>
  <r>
    <x v="5"/>
    <n v="1079"/>
    <n v="2877"/>
    <x v="1"/>
    <n v="11.4"/>
    <n v="16.3"/>
    <n v="4.9000000000000004"/>
    <n v="0.49000000000000005"/>
    <x v="1"/>
    <x v="1"/>
    <x v="0"/>
  </r>
  <r>
    <x v="5"/>
    <n v="1080"/>
    <n v="4421"/>
    <x v="5"/>
    <n v="45"/>
    <n v="87"/>
    <n v="42"/>
    <n v="8.4"/>
    <x v="2"/>
    <x v="2"/>
    <x v="1"/>
  </r>
  <r>
    <x v="5"/>
    <n v="1081"/>
    <n v="6119"/>
    <x v="8"/>
    <n v="9"/>
    <n v="14"/>
    <n v="5"/>
    <n v="0.5"/>
    <x v="2"/>
    <x v="2"/>
    <x v="5"/>
  </r>
  <r>
    <x v="5"/>
    <n v="1082"/>
    <n v="1109"/>
    <x v="4"/>
    <n v="3"/>
    <n v="8"/>
    <n v="5"/>
    <n v="0.5"/>
    <x v="0"/>
    <x v="0"/>
    <x v="1"/>
  </r>
  <r>
    <x v="5"/>
    <n v="1083"/>
    <n v="1109"/>
    <x v="4"/>
    <n v="3"/>
    <n v="8"/>
    <n v="5"/>
    <n v="0.5"/>
    <x v="0"/>
    <x v="0"/>
    <x v="4"/>
  </r>
  <r>
    <x v="5"/>
    <n v="1084"/>
    <n v="6119"/>
    <x v="8"/>
    <n v="9"/>
    <n v="14"/>
    <n v="5"/>
    <n v="0.5"/>
    <x v="0"/>
    <x v="0"/>
    <x v="2"/>
  </r>
  <r>
    <x v="5"/>
    <n v="1085"/>
    <n v="9822"/>
    <x v="0"/>
    <n v="58.3"/>
    <n v="98.4"/>
    <n v="40.100000000000009"/>
    <n v="8.0200000000000014"/>
    <x v="2"/>
    <x v="2"/>
    <x v="4"/>
  </r>
  <r>
    <x v="5"/>
    <n v="1086"/>
    <n v="1109"/>
    <x v="4"/>
    <n v="3"/>
    <n v="8"/>
    <n v="5"/>
    <n v="0.5"/>
    <x v="3"/>
    <x v="3"/>
    <x v="2"/>
  </r>
  <r>
    <x v="5"/>
    <n v="1087"/>
    <n v="2499"/>
    <x v="2"/>
    <n v="6.2"/>
    <n v="9.1999999999999993"/>
    <n v="2.9999999999999991"/>
    <n v="0.29999999999999993"/>
    <x v="0"/>
    <x v="0"/>
    <x v="1"/>
  </r>
  <r>
    <x v="5"/>
    <n v="1088"/>
    <n v="2499"/>
    <x v="2"/>
    <n v="6.2"/>
    <n v="9.1999999999999993"/>
    <n v="2.9999999999999991"/>
    <n v="0.29999999999999993"/>
    <x v="0"/>
    <x v="0"/>
    <x v="0"/>
  </r>
  <r>
    <x v="5"/>
    <n v="1089"/>
    <n v="6119"/>
    <x v="8"/>
    <n v="9"/>
    <n v="14"/>
    <n v="5"/>
    <n v="0.5"/>
    <x v="2"/>
    <x v="2"/>
    <x v="4"/>
  </r>
  <r>
    <x v="5"/>
    <n v="1090"/>
    <n v="2877"/>
    <x v="1"/>
    <n v="11.4"/>
    <n v="16.3"/>
    <n v="4.9000000000000004"/>
    <n v="0.49000000000000005"/>
    <x v="0"/>
    <x v="0"/>
    <x v="1"/>
  </r>
  <r>
    <x v="5"/>
    <n v="1091"/>
    <n v="2877"/>
    <x v="1"/>
    <n v="11.4"/>
    <n v="16.3"/>
    <n v="4.9000000000000004"/>
    <n v="0.49000000000000005"/>
    <x v="3"/>
    <x v="3"/>
    <x v="4"/>
  </r>
  <r>
    <x v="5"/>
    <n v="1092"/>
    <n v="2877"/>
    <x v="1"/>
    <n v="11.4"/>
    <n v="16.3"/>
    <n v="4.9000000000000004"/>
    <n v="0.49000000000000005"/>
    <x v="2"/>
    <x v="2"/>
    <x v="1"/>
  </r>
  <r>
    <x v="5"/>
    <n v="1093"/>
    <n v="6119"/>
    <x v="8"/>
    <n v="9"/>
    <n v="14"/>
    <n v="5"/>
    <n v="0.5"/>
    <x v="1"/>
    <x v="1"/>
    <x v="2"/>
  </r>
  <r>
    <x v="5"/>
    <n v="1094"/>
    <n v="6119"/>
    <x v="8"/>
    <n v="9"/>
    <n v="14"/>
    <n v="5"/>
    <n v="0.5"/>
    <x v="2"/>
    <x v="2"/>
    <x v="1"/>
  </r>
  <r>
    <x v="5"/>
    <n v="1095"/>
    <n v="2499"/>
    <x v="2"/>
    <n v="6.2"/>
    <n v="9.1999999999999993"/>
    <n v="2.9999999999999991"/>
    <n v="0.29999999999999993"/>
    <x v="3"/>
    <x v="3"/>
    <x v="2"/>
  </r>
  <r>
    <x v="5"/>
    <n v="1096"/>
    <n v="6119"/>
    <x v="8"/>
    <n v="9"/>
    <n v="14"/>
    <n v="5"/>
    <n v="0.5"/>
    <x v="2"/>
    <x v="2"/>
    <x v="2"/>
  </r>
  <r>
    <x v="5"/>
    <n v="1097"/>
    <n v="9212"/>
    <x v="6"/>
    <n v="4"/>
    <n v="7"/>
    <n v="3"/>
    <n v="0.30000000000000004"/>
    <x v="3"/>
    <x v="3"/>
    <x v="4"/>
  </r>
  <r>
    <x v="5"/>
    <n v="1098"/>
    <n v="2877"/>
    <x v="1"/>
    <n v="11.4"/>
    <n v="16.3"/>
    <n v="4.9000000000000004"/>
    <n v="0.49000000000000005"/>
    <x v="1"/>
    <x v="1"/>
    <x v="0"/>
  </r>
  <r>
    <x v="6"/>
    <n v="1099"/>
    <n v="2877"/>
    <x v="1"/>
    <n v="11.4"/>
    <n v="16.3"/>
    <n v="4.9000000000000004"/>
    <n v="0.49000000000000005"/>
    <x v="2"/>
    <x v="2"/>
    <x v="1"/>
  </r>
  <r>
    <x v="6"/>
    <n v="1100"/>
    <n v="6119"/>
    <x v="8"/>
    <n v="9"/>
    <n v="14"/>
    <n v="5"/>
    <n v="0.5"/>
    <x v="0"/>
    <x v="0"/>
    <x v="5"/>
  </r>
  <r>
    <x v="6"/>
    <n v="1101"/>
    <n v="2499"/>
    <x v="2"/>
    <n v="6.2"/>
    <n v="9.1999999999999993"/>
    <n v="2.9999999999999991"/>
    <n v="0.29999999999999993"/>
    <x v="2"/>
    <x v="2"/>
    <x v="1"/>
  </r>
  <r>
    <x v="6"/>
    <n v="1102"/>
    <n v="2242"/>
    <x v="7"/>
    <n v="60"/>
    <n v="124"/>
    <n v="64"/>
    <n v="12.8"/>
    <x v="1"/>
    <x v="1"/>
    <x v="4"/>
  </r>
  <r>
    <x v="6"/>
    <n v="1103"/>
    <n v="2877"/>
    <x v="1"/>
    <n v="11.4"/>
    <n v="16.3"/>
    <n v="4.9000000000000004"/>
    <n v="0.49000000000000005"/>
    <x v="1"/>
    <x v="1"/>
    <x v="2"/>
  </r>
  <r>
    <x v="6"/>
    <n v="1104"/>
    <n v="2877"/>
    <x v="1"/>
    <n v="11.4"/>
    <n v="16.3"/>
    <n v="4.9000000000000004"/>
    <n v="0.49000000000000005"/>
    <x v="2"/>
    <x v="2"/>
    <x v="4"/>
  </r>
  <r>
    <x v="6"/>
    <n v="1105"/>
    <n v="2499"/>
    <x v="2"/>
    <n v="6.2"/>
    <n v="9.1999999999999993"/>
    <n v="2.9999999999999991"/>
    <n v="0.29999999999999993"/>
    <x v="1"/>
    <x v="1"/>
    <x v="2"/>
  </r>
  <r>
    <x v="6"/>
    <n v="1106"/>
    <n v="9822"/>
    <x v="0"/>
    <n v="58.3"/>
    <n v="98.4"/>
    <n v="40.100000000000009"/>
    <n v="8.0200000000000014"/>
    <x v="1"/>
    <x v="1"/>
    <x v="1"/>
  </r>
  <r>
    <x v="6"/>
    <n v="1107"/>
    <n v="1109"/>
    <x v="4"/>
    <n v="3"/>
    <n v="8"/>
    <n v="5"/>
    <n v="0.5"/>
    <x v="3"/>
    <x v="3"/>
    <x v="0"/>
  </r>
  <r>
    <x v="6"/>
    <n v="1108"/>
    <n v="9822"/>
    <x v="0"/>
    <n v="58.3"/>
    <n v="98.4"/>
    <n v="40.100000000000009"/>
    <n v="8.0200000000000014"/>
    <x v="2"/>
    <x v="2"/>
    <x v="4"/>
  </r>
  <r>
    <x v="6"/>
    <n v="1109"/>
    <n v="8722"/>
    <x v="3"/>
    <n v="344"/>
    <n v="502"/>
    <n v="158"/>
    <n v="31.6"/>
    <x v="1"/>
    <x v="1"/>
    <x v="1"/>
  </r>
  <r>
    <x v="6"/>
    <n v="1110"/>
    <n v="8722"/>
    <x v="3"/>
    <n v="344"/>
    <n v="502"/>
    <n v="158"/>
    <n v="31.6"/>
    <x v="3"/>
    <x v="3"/>
    <x v="4"/>
  </r>
  <r>
    <x v="6"/>
    <n v="1111"/>
    <n v="6622"/>
    <x v="9"/>
    <n v="42"/>
    <n v="77"/>
    <n v="35"/>
    <n v="7"/>
    <x v="3"/>
    <x v="3"/>
    <x v="1"/>
  </r>
  <r>
    <x v="6"/>
    <n v="1112"/>
    <n v="6622"/>
    <x v="9"/>
    <n v="42"/>
    <n v="77"/>
    <n v="35"/>
    <n v="7"/>
    <x v="2"/>
    <x v="2"/>
    <x v="2"/>
  </r>
  <r>
    <x v="6"/>
    <n v="1113"/>
    <n v="9822"/>
    <x v="0"/>
    <n v="58.3"/>
    <n v="98.4"/>
    <n v="40.100000000000009"/>
    <n v="8.0200000000000014"/>
    <x v="0"/>
    <x v="0"/>
    <x v="1"/>
  </r>
  <r>
    <x v="6"/>
    <n v="1114"/>
    <n v="2242"/>
    <x v="7"/>
    <n v="60"/>
    <n v="124"/>
    <n v="64"/>
    <n v="12.8"/>
    <x v="1"/>
    <x v="1"/>
    <x v="2"/>
  </r>
  <r>
    <x v="6"/>
    <n v="1115"/>
    <n v="8722"/>
    <x v="3"/>
    <n v="344"/>
    <n v="502"/>
    <n v="158"/>
    <n v="31.6"/>
    <x v="0"/>
    <x v="0"/>
    <x v="2"/>
  </r>
  <r>
    <x v="6"/>
    <n v="1116"/>
    <n v="6622"/>
    <x v="9"/>
    <n v="42"/>
    <n v="77"/>
    <n v="35"/>
    <n v="7"/>
    <x v="2"/>
    <x v="2"/>
    <x v="4"/>
  </r>
  <r>
    <x v="6"/>
    <n v="1117"/>
    <n v="8722"/>
    <x v="3"/>
    <n v="344"/>
    <n v="502"/>
    <n v="158"/>
    <n v="31.6"/>
    <x v="3"/>
    <x v="3"/>
    <x v="0"/>
  </r>
  <r>
    <x v="6"/>
    <n v="1118"/>
    <n v="9822"/>
    <x v="0"/>
    <n v="58.3"/>
    <n v="98.4"/>
    <n v="40.100000000000009"/>
    <n v="8.0200000000000014"/>
    <x v="1"/>
    <x v="1"/>
    <x v="1"/>
  </r>
  <r>
    <x v="6"/>
    <n v="1119"/>
    <n v="2242"/>
    <x v="7"/>
    <n v="60"/>
    <n v="124"/>
    <n v="64"/>
    <n v="12.8"/>
    <x v="0"/>
    <x v="0"/>
    <x v="5"/>
  </r>
  <r>
    <x v="6"/>
    <n v="1120"/>
    <n v="2242"/>
    <x v="7"/>
    <n v="60"/>
    <n v="124"/>
    <n v="64"/>
    <n v="12.8"/>
    <x v="2"/>
    <x v="2"/>
    <x v="1"/>
  </r>
  <r>
    <x v="6"/>
    <n v="1121"/>
    <n v="4421"/>
    <x v="5"/>
    <n v="45"/>
    <n v="87"/>
    <n v="42"/>
    <n v="8.4"/>
    <x v="2"/>
    <x v="2"/>
    <x v="4"/>
  </r>
  <r>
    <x v="6"/>
    <n v="1122"/>
    <n v="8722"/>
    <x v="3"/>
    <n v="344"/>
    <n v="502"/>
    <n v="158"/>
    <n v="31.6"/>
    <x v="2"/>
    <x v="2"/>
    <x v="2"/>
  </r>
  <r>
    <x v="6"/>
    <n v="1123"/>
    <n v="9822"/>
    <x v="0"/>
    <n v="58.3"/>
    <n v="98.4"/>
    <n v="40.100000000000009"/>
    <n v="8.0200000000000014"/>
    <x v="2"/>
    <x v="2"/>
    <x v="4"/>
  </r>
  <r>
    <x v="6"/>
    <n v="1124"/>
    <n v="4421"/>
    <x v="5"/>
    <n v="45"/>
    <n v="87"/>
    <n v="42"/>
    <n v="8.4"/>
    <x v="2"/>
    <x v="2"/>
    <x v="2"/>
  </r>
  <r>
    <x v="7"/>
    <n v="1125"/>
    <n v="2242"/>
    <x v="7"/>
    <n v="60"/>
    <n v="124"/>
    <n v="64"/>
    <n v="12.8"/>
    <x v="2"/>
    <x v="2"/>
    <x v="1"/>
  </r>
  <r>
    <x v="7"/>
    <n v="1126"/>
    <n v="9212"/>
    <x v="6"/>
    <n v="4"/>
    <n v="7"/>
    <n v="3"/>
    <n v="0.30000000000000004"/>
    <x v="2"/>
    <x v="2"/>
    <x v="0"/>
  </r>
  <r>
    <x v="7"/>
    <n v="1127"/>
    <n v="8722"/>
    <x v="3"/>
    <n v="344"/>
    <n v="502"/>
    <n v="158"/>
    <n v="31.6"/>
    <x v="0"/>
    <x v="0"/>
    <x v="4"/>
  </r>
  <r>
    <x v="7"/>
    <n v="1128"/>
    <n v="6622"/>
    <x v="9"/>
    <n v="42"/>
    <n v="77"/>
    <n v="35"/>
    <n v="7"/>
    <x v="1"/>
    <x v="1"/>
    <x v="1"/>
  </r>
  <r>
    <x v="7"/>
    <n v="1129"/>
    <n v="9822"/>
    <x v="0"/>
    <n v="58.3"/>
    <n v="98.4"/>
    <n v="40.100000000000009"/>
    <n v="8.0200000000000014"/>
    <x v="3"/>
    <x v="3"/>
    <x v="4"/>
  </r>
  <r>
    <x v="7"/>
    <n v="1130"/>
    <n v="4421"/>
    <x v="5"/>
    <n v="45"/>
    <n v="87"/>
    <n v="42"/>
    <n v="8.4"/>
    <x v="3"/>
    <x v="3"/>
    <x v="1"/>
  </r>
  <r>
    <x v="7"/>
    <n v="1131"/>
    <n v="9212"/>
    <x v="6"/>
    <n v="4"/>
    <n v="7"/>
    <n v="3"/>
    <n v="0.30000000000000004"/>
    <x v="3"/>
    <x v="3"/>
    <x v="2"/>
  </r>
  <r>
    <x v="7"/>
    <n v="1132"/>
    <n v="9212"/>
    <x v="6"/>
    <n v="4"/>
    <n v="7"/>
    <n v="3"/>
    <n v="0.30000000000000004"/>
    <x v="3"/>
    <x v="3"/>
    <x v="1"/>
  </r>
  <r>
    <x v="7"/>
    <n v="1133"/>
    <n v="9822"/>
    <x v="0"/>
    <n v="58.3"/>
    <n v="98.4"/>
    <n v="40.100000000000009"/>
    <n v="8.0200000000000014"/>
    <x v="0"/>
    <x v="0"/>
    <x v="2"/>
  </r>
  <r>
    <x v="7"/>
    <n v="1134"/>
    <n v="9822"/>
    <x v="0"/>
    <n v="58.3"/>
    <n v="98.4"/>
    <n v="40.100000000000009"/>
    <n v="8.0200000000000014"/>
    <x v="2"/>
    <x v="2"/>
    <x v="2"/>
  </r>
  <r>
    <x v="7"/>
    <n v="1135"/>
    <n v="8722"/>
    <x v="3"/>
    <n v="344"/>
    <n v="502"/>
    <n v="158"/>
    <n v="31.6"/>
    <x v="0"/>
    <x v="0"/>
    <x v="4"/>
  </r>
  <r>
    <x v="7"/>
    <n v="1136"/>
    <n v="2242"/>
    <x v="7"/>
    <n v="60"/>
    <n v="124"/>
    <n v="64"/>
    <n v="12.8"/>
    <x v="2"/>
    <x v="2"/>
    <x v="0"/>
  </r>
  <r>
    <x v="7"/>
    <n v="1137"/>
    <n v="9822"/>
    <x v="0"/>
    <n v="58.3"/>
    <n v="98.4"/>
    <n v="40.100000000000009"/>
    <n v="8.0200000000000014"/>
    <x v="1"/>
    <x v="1"/>
    <x v="1"/>
  </r>
  <r>
    <x v="7"/>
    <n v="1138"/>
    <n v="8722"/>
    <x v="3"/>
    <n v="344"/>
    <n v="502"/>
    <n v="158"/>
    <n v="31.6"/>
    <x v="0"/>
    <x v="0"/>
    <x v="5"/>
  </r>
  <r>
    <x v="7"/>
    <n v="1139"/>
    <n v="4421"/>
    <x v="5"/>
    <n v="45"/>
    <n v="87"/>
    <n v="42"/>
    <n v="8.4"/>
    <x v="2"/>
    <x v="2"/>
    <x v="1"/>
  </r>
  <r>
    <x v="7"/>
    <n v="1140"/>
    <n v="4421"/>
    <x v="5"/>
    <n v="45"/>
    <n v="87"/>
    <n v="42"/>
    <n v="8.4"/>
    <x v="1"/>
    <x v="1"/>
    <x v="4"/>
  </r>
  <r>
    <x v="7"/>
    <n v="1141"/>
    <n v="9212"/>
    <x v="6"/>
    <n v="4"/>
    <n v="7"/>
    <n v="3"/>
    <n v="0.30000000000000004"/>
    <x v="1"/>
    <x v="1"/>
    <x v="2"/>
  </r>
  <r>
    <x v="8"/>
    <n v="1142"/>
    <n v="2242"/>
    <x v="7"/>
    <n v="60"/>
    <n v="124"/>
    <n v="64"/>
    <n v="12.8"/>
    <x v="1"/>
    <x v="1"/>
    <x v="4"/>
  </r>
  <r>
    <x v="8"/>
    <n v="1143"/>
    <n v="9822"/>
    <x v="0"/>
    <n v="58.3"/>
    <n v="98.4"/>
    <n v="40.100000000000009"/>
    <n v="8.0200000000000014"/>
    <x v="3"/>
    <x v="3"/>
    <x v="2"/>
  </r>
  <r>
    <x v="8"/>
    <n v="1144"/>
    <n v="2242"/>
    <x v="7"/>
    <n v="60"/>
    <n v="124"/>
    <n v="64"/>
    <n v="12.8"/>
    <x v="3"/>
    <x v="3"/>
    <x v="1"/>
  </r>
  <r>
    <x v="8"/>
    <n v="1145"/>
    <n v="4421"/>
    <x v="5"/>
    <n v="45"/>
    <n v="87"/>
    <n v="42"/>
    <n v="8.4"/>
    <x v="3"/>
    <x v="3"/>
    <x v="0"/>
  </r>
  <r>
    <x v="8"/>
    <n v="1146"/>
    <n v="8722"/>
    <x v="3"/>
    <n v="344"/>
    <n v="502"/>
    <n v="158"/>
    <n v="31.6"/>
    <x v="3"/>
    <x v="3"/>
    <x v="4"/>
  </r>
  <r>
    <x v="8"/>
    <n v="1147"/>
    <n v="9822"/>
    <x v="0"/>
    <n v="58.3"/>
    <n v="98.4"/>
    <n v="40.100000000000009"/>
    <n v="8.0200000000000014"/>
    <x v="0"/>
    <x v="0"/>
    <x v="1"/>
  </r>
  <r>
    <x v="8"/>
    <n v="1148"/>
    <n v="9212"/>
    <x v="6"/>
    <n v="4"/>
    <n v="7"/>
    <n v="3"/>
    <n v="0.30000000000000004"/>
    <x v="2"/>
    <x v="2"/>
    <x v="2"/>
  </r>
  <r>
    <x v="8"/>
    <n v="1149"/>
    <n v="8722"/>
    <x v="3"/>
    <n v="344"/>
    <n v="502"/>
    <n v="158"/>
    <n v="31.6"/>
    <x v="0"/>
    <x v="0"/>
    <x v="2"/>
  </r>
  <r>
    <x v="9"/>
    <n v="1150"/>
    <n v="2242"/>
    <x v="7"/>
    <n v="60"/>
    <n v="124"/>
    <n v="64"/>
    <n v="12.8"/>
    <x v="2"/>
    <x v="2"/>
    <x v="5"/>
  </r>
  <r>
    <x v="9"/>
    <n v="1151"/>
    <n v="2242"/>
    <x v="7"/>
    <n v="60"/>
    <n v="124"/>
    <n v="64"/>
    <n v="12.8"/>
    <x v="1"/>
    <x v="1"/>
    <x v="1"/>
  </r>
  <r>
    <x v="9"/>
    <n v="1152"/>
    <n v="4421"/>
    <x v="5"/>
    <n v="45"/>
    <n v="87"/>
    <n v="42"/>
    <n v="8.4"/>
    <x v="0"/>
    <x v="0"/>
    <x v="4"/>
  </r>
  <r>
    <x v="9"/>
    <n v="1153"/>
    <n v="8722"/>
    <x v="3"/>
    <n v="344"/>
    <n v="502"/>
    <n v="158"/>
    <n v="31.6"/>
    <x v="2"/>
    <x v="2"/>
    <x v="2"/>
  </r>
  <r>
    <x v="9"/>
    <n v="1154"/>
    <n v="9822"/>
    <x v="0"/>
    <n v="58.3"/>
    <n v="98.4"/>
    <n v="40.100000000000009"/>
    <n v="8.0200000000000014"/>
    <x v="1"/>
    <x v="1"/>
    <x v="4"/>
  </r>
  <r>
    <x v="9"/>
    <n v="1155"/>
    <n v="4421"/>
    <x v="5"/>
    <n v="45"/>
    <n v="87"/>
    <n v="42"/>
    <n v="8.4"/>
    <x v="2"/>
    <x v="2"/>
    <x v="2"/>
  </r>
  <r>
    <x v="9"/>
    <n v="1156"/>
    <n v="2242"/>
    <x v="7"/>
    <n v="60"/>
    <n v="124"/>
    <n v="64"/>
    <n v="12.8"/>
    <x v="2"/>
    <x v="2"/>
    <x v="1"/>
  </r>
  <r>
    <x v="9"/>
    <n v="1157"/>
    <n v="9212"/>
    <x v="6"/>
    <n v="4"/>
    <n v="7"/>
    <n v="3"/>
    <n v="0.30000000000000004"/>
    <x v="2"/>
    <x v="2"/>
    <x v="0"/>
  </r>
  <r>
    <x v="10"/>
    <n v="1158"/>
    <n v="8722"/>
    <x v="3"/>
    <n v="344"/>
    <n v="502"/>
    <n v="158"/>
    <n v="31.6"/>
    <x v="0"/>
    <x v="0"/>
    <x v="4"/>
  </r>
  <r>
    <x v="10"/>
    <n v="1159"/>
    <n v="6622"/>
    <x v="9"/>
    <n v="42"/>
    <n v="77"/>
    <n v="35"/>
    <n v="7"/>
    <x v="2"/>
    <x v="2"/>
    <x v="1"/>
  </r>
  <r>
    <x v="10"/>
    <n v="1160"/>
    <n v="9822"/>
    <x v="0"/>
    <n v="58.3"/>
    <n v="98.4"/>
    <n v="40.100000000000009"/>
    <n v="8.0200000000000014"/>
    <x v="3"/>
    <x v="3"/>
    <x v="4"/>
  </r>
  <r>
    <x v="10"/>
    <n v="1161"/>
    <n v="4421"/>
    <x v="5"/>
    <n v="45"/>
    <n v="87"/>
    <n v="42"/>
    <n v="8.4"/>
    <x v="1"/>
    <x v="1"/>
    <x v="1"/>
  </r>
  <r>
    <x v="10"/>
    <n v="1162"/>
    <n v="9212"/>
    <x v="6"/>
    <n v="4"/>
    <n v="7"/>
    <n v="3"/>
    <n v="0.30000000000000004"/>
    <x v="0"/>
    <x v="0"/>
    <x v="2"/>
  </r>
  <r>
    <x v="10"/>
    <n v="1163"/>
    <n v="9212"/>
    <x v="6"/>
    <n v="4"/>
    <n v="7"/>
    <n v="3"/>
    <n v="0.30000000000000004"/>
    <x v="2"/>
    <x v="2"/>
    <x v="1"/>
  </r>
  <r>
    <x v="10"/>
    <n v="1164"/>
    <n v="9822"/>
    <x v="0"/>
    <n v="58.3"/>
    <n v="98.4"/>
    <n v="40.100000000000009"/>
    <n v="8.0200000000000014"/>
    <x v="2"/>
    <x v="2"/>
    <x v="2"/>
  </r>
  <r>
    <x v="10"/>
    <n v="1165"/>
    <n v="9822"/>
    <x v="0"/>
    <n v="58.3"/>
    <n v="98.4"/>
    <n v="40.100000000000009"/>
    <n v="8.0200000000000014"/>
    <x v="2"/>
    <x v="2"/>
    <x v="2"/>
  </r>
  <r>
    <x v="10"/>
    <n v="1166"/>
    <n v="8722"/>
    <x v="3"/>
    <n v="344"/>
    <n v="502"/>
    <n v="158"/>
    <n v="31.6"/>
    <x v="2"/>
    <x v="2"/>
    <x v="4"/>
  </r>
  <r>
    <x v="11"/>
    <n v="1167"/>
    <n v="2242"/>
    <x v="7"/>
    <n v="60"/>
    <n v="124"/>
    <n v="64"/>
    <n v="12.8"/>
    <x v="2"/>
    <x v="2"/>
    <x v="0"/>
  </r>
  <r>
    <x v="11"/>
    <n v="1168"/>
    <n v="9822"/>
    <x v="0"/>
    <n v="58.3"/>
    <n v="98.4"/>
    <n v="40.100000000000009"/>
    <n v="8.0200000000000014"/>
    <x v="2"/>
    <x v="2"/>
    <x v="1"/>
  </r>
  <r>
    <x v="11"/>
    <n v="1169"/>
    <n v="8722"/>
    <x v="3"/>
    <n v="344"/>
    <n v="502"/>
    <n v="158"/>
    <n v="31.6"/>
    <x v="2"/>
    <x v="2"/>
    <x v="5"/>
  </r>
  <r>
    <x v="11"/>
    <n v="1170"/>
    <n v="4421"/>
    <x v="5"/>
    <n v="45"/>
    <n v="87"/>
    <n v="42"/>
    <n v="8.4"/>
    <x v="0"/>
    <x v="0"/>
    <x v="1"/>
  </r>
  <r>
    <x v="11"/>
    <n v="1171"/>
    <n v="4421"/>
    <x v="5"/>
    <n v="45"/>
    <n v="87"/>
    <n v="42"/>
    <n v="8.4"/>
    <x v="1"/>
    <x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5FA36C-D090-4862-8085-B5423D4967C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11">
    <pivotField showAll="0">
      <items count="13">
        <item x="0"/>
        <item x="3"/>
        <item x="1"/>
        <item x="2"/>
        <item x="4"/>
        <item x="7"/>
        <item x="9"/>
        <item x="10"/>
        <item x="11"/>
        <item x="5"/>
        <item x="6"/>
        <item x="8"/>
        <item t="default"/>
      </items>
    </pivotField>
    <pivotField numFmtId="165" showAll="0"/>
    <pivotField showAll="0"/>
    <pivotField showAll="0">
      <items count="11">
        <item x="6"/>
        <item x="9"/>
        <item x="2"/>
        <item x="8"/>
        <item x="7"/>
        <item x="4"/>
        <item x="1"/>
        <item x="0"/>
        <item x="5"/>
        <item x="3"/>
        <item t="default"/>
      </items>
    </pivotField>
    <pivotField numFmtId="166" showAll="0"/>
    <pivotField numFmtId="166" showAll="0"/>
    <pivotField numFmtId="166" showAll="0"/>
    <pivotField dataField="1" numFmtId="166" showAll="0"/>
    <pivotField axis="axisRow" showAll="0">
      <items count="5">
        <item x="0"/>
        <item x="2"/>
        <item x="3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7">
        <item x="2"/>
        <item x="1"/>
        <item x="3"/>
        <item x="0"/>
        <item x="4"/>
        <item x="5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ommision 10% for items less than $50and  20% for items ,more than 20%" fld="7" baseField="0" baseItem="0" numFmtId="166"/>
  </dataFields>
  <chartFormats count="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E7687B-4767-48B4-A847-3F2C05266BD2}" name="Table1" displayName="Table1" ref="A1:AB10" totalsRowShown="0" dataDxfId="0">
  <tableColumns count="28">
    <tableColumn id="1" xr3:uid="{BAC3349B-EEB3-4359-B06C-A890E4E23EED}" name="FULL NAME" dataDxfId="28"/>
    <tableColumn id="2" xr3:uid="{AB0C35A4-1775-42E7-AD12-85F37D649EBD}" name="EMAIL ID" dataDxfId="27"/>
    <tableColumn id="3" xr3:uid="{E91DDA3A-9016-4474-BA7B-665A508C8D47}" name="HOURLY PAY" dataDxfId="26"/>
    <tableColumn id="4" xr3:uid="{7D30D96D-130B-426D-B219-DE4E4E9BD6AE}" name="HOURS WORKED" dataDxfId="25"/>
    <tableColumn id="5" xr3:uid="{608A2AE1-FD0A-4142-9940-752BD32F2F3A}" name="Column1" dataDxfId="24"/>
    <tableColumn id="6" xr3:uid="{AD3C0A3D-E826-44EB-9960-7B44948961B9}" name="Column2" dataDxfId="23"/>
    <tableColumn id="7" xr3:uid="{B28E4E3D-7613-45A7-A699-AE66AD4E5277}" name="Column3" dataDxfId="22"/>
    <tableColumn id="8" xr3:uid="{261F44FB-8493-4DC8-8DF2-11E9E6278245}" name="Column4" dataDxfId="21"/>
    <tableColumn id="9" xr3:uid="{410BB734-6133-4C00-89E2-C1DA8B283E7B}" name="OVERTIME" dataDxfId="20">
      <calculatedColumnFormula>IF(D2&gt;40,D2-40,0)</calculatedColumnFormula>
    </tableColumn>
    <tableColumn id="10" xr3:uid="{74555F8C-8DD6-4B29-844C-E9979966894A}" name="Column5" dataDxfId="19"/>
    <tableColumn id="11" xr3:uid="{3C683947-10CD-46D4-8558-1241FDD41F5E}" name="Column6" dataDxfId="18"/>
    <tableColumn id="12" xr3:uid="{02B27535-77EA-4C0E-A48B-33DC0A800A59}" name="Column7" dataDxfId="17"/>
    <tableColumn id="13" xr3:uid="{DA79A8B5-FE3F-441C-A4FB-EB961557C443}" name="Column8" dataDxfId="16"/>
    <tableColumn id="14" xr3:uid="{B62A9BE5-DE10-47E2-9CEF-E6387756CD5B}" name="TOTAL PAY" dataDxfId="15">
      <calculatedColumnFormula>$C2*D2</calculatedColumnFormula>
    </tableColumn>
    <tableColumn id="15" xr3:uid="{AD0DBE1B-DD5E-4CB3-9600-D05107483577}" name="Column9" dataDxfId="14">
      <calculatedColumnFormula>$C2*E2</calculatedColumnFormula>
    </tableColumn>
    <tableColumn id="16" xr3:uid="{329E021B-1745-45A3-8523-474073FB150B}" name="Column10" dataDxfId="13">
      <calculatedColumnFormula>$C2*F2</calculatedColumnFormula>
    </tableColumn>
    <tableColumn id="17" xr3:uid="{8413914A-E081-4362-ADC4-314F731A8FF1}" name="Column11" dataDxfId="12">
      <calculatedColumnFormula>$C2*G2</calculatedColumnFormula>
    </tableColumn>
    <tableColumn id="18" xr3:uid="{73510F36-E081-47E2-B5F9-E9416D1EBF9E}" name="Column12" dataDxfId="11">
      <calculatedColumnFormula>$C2*H2</calculatedColumnFormula>
    </tableColumn>
    <tableColumn id="19" xr3:uid="{5FFC1792-6A4F-4DBB-BD0A-89A1161E62FC}" name="BONUS" dataDxfId="10">
      <calculatedColumnFormula>0.5*$C2*I2</calculatedColumnFormula>
    </tableColumn>
    <tableColumn id="20" xr3:uid="{F7E3A713-B52B-40F0-A731-709EB9605C42}" name="Column13" dataDxfId="9">
      <calculatedColumnFormula>0.5*$C2*J2</calculatedColumnFormula>
    </tableColumn>
    <tableColumn id="21" xr3:uid="{2DF80654-128F-42FB-9F7E-65D3CCADB32F}" name="Column14" dataDxfId="8">
      <calculatedColumnFormula>0.5*$C2*K2</calculatedColumnFormula>
    </tableColumn>
    <tableColumn id="22" xr3:uid="{3CF42533-B2DE-466B-9A76-0D0604F02554}" name="Column15" dataDxfId="7">
      <calculatedColumnFormula>0.5*$C2*L2</calculatedColumnFormula>
    </tableColumn>
    <tableColumn id="23" xr3:uid="{C0CB4011-FEAD-4F0F-9D2A-D18A5B049AC3}" name="Column16" dataDxfId="6">
      <calculatedColumnFormula>0.5*$C2*M2</calculatedColumnFormula>
    </tableColumn>
    <tableColumn id="24" xr3:uid="{9E90C701-30AA-4D7A-82A7-5176BB5ABE2E}" name="TOTAL PAY +BONUS" dataDxfId="5">
      <calculatedColumnFormula>N2+S2</calculatedColumnFormula>
    </tableColumn>
    <tableColumn id="25" xr3:uid="{20F8567E-0925-41A8-A703-B704456DD6A6}" name="Column17" dataDxfId="4">
      <calculatedColumnFormula>O2+T2</calculatedColumnFormula>
    </tableColumn>
    <tableColumn id="26" xr3:uid="{732A07C8-E965-4394-AC15-236616536BFF}" name="Column18" dataDxfId="3">
      <calculatedColumnFormula>P2+U2</calculatedColumnFormula>
    </tableColumn>
    <tableColumn id="27" xr3:uid="{6C86D418-F6D7-48EC-B7CC-5EB3F0FBB182}" name="Column19" dataDxfId="2">
      <calculatedColumnFormula>Q2+V2</calculatedColumnFormula>
    </tableColumn>
    <tableColumn id="28" xr3:uid="{12EEB8CE-CCBE-4F47-8AD8-AD255786BA4D}" name="Column20" dataDxfId="1">
      <calculatedColumnFormula>R2+W2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930E-A50F-4E9E-8354-4BF682C421DD}">
  <sheetPr codeName="Sheet2">
    <pageSetUpPr fitToPage="1"/>
  </sheetPr>
  <dimension ref="A1:AB26"/>
  <sheetViews>
    <sheetView zoomScale="91" workbookViewId="0"/>
  </sheetViews>
  <sheetFormatPr defaultRowHeight="11.5"/>
  <cols>
    <col min="1" max="1" width="37.81640625" customWidth="1"/>
    <col min="2" max="2" width="27.36328125" customWidth="1"/>
    <col min="3" max="3" width="16.81640625" customWidth="1"/>
    <col min="4" max="4" width="17.81640625" customWidth="1"/>
    <col min="5" max="8" width="17.453125" customWidth="1"/>
    <col min="9" max="13" width="17.08984375" customWidth="1"/>
    <col min="14" max="18" width="18.6328125" customWidth="1"/>
    <col min="19" max="23" width="14.453125" customWidth="1"/>
    <col min="24" max="24" width="21" customWidth="1"/>
    <col min="25" max="25" width="16.08984375" customWidth="1"/>
    <col min="26" max="26" width="19" customWidth="1"/>
    <col min="27" max="27" width="20.6328125" customWidth="1"/>
    <col min="28" max="28" width="23.26953125" customWidth="1"/>
  </cols>
  <sheetData>
    <row r="1" spans="1:28">
      <c r="A1" t="s">
        <v>17</v>
      </c>
      <c r="B1" t="s">
        <v>18</v>
      </c>
      <c r="C1" t="s">
        <v>19</v>
      </c>
      <c r="D1" t="s">
        <v>20</v>
      </c>
      <c r="E1" t="s">
        <v>88</v>
      </c>
      <c r="F1" t="s">
        <v>89</v>
      </c>
      <c r="G1" t="s">
        <v>90</v>
      </c>
      <c r="H1" t="s">
        <v>91</v>
      </c>
      <c r="I1" t="s">
        <v>26</v>
      </c>
      <c r="J1" t="s">
        <v>92</v>
      </c>
      <c r="K1" t="s">
        <v>93</v>
      </c>
      <c r="L1" t="s">
        <v>94</v>
      </c>
      <c r="M1" t="s">
        <v>95</v>
      </c>
      <c r="N1" t="s">
        <v>21</v>
      </c>
      <c r="O1" t="s">
        <v>96</v>
      </c>
      <c r="P1" t="s">
        <v>97</v>
      </c>
      <c r="Q1" t="s">
        <v>98</v>
      </c>
      <c r="R1" t="s">
        <v>99</v>
      </c>
      <c r="S1" t="s">
        <v>27</v>
      </c>
      <c r="T1" t="s">
        <v>100</v>
      </c>
      <c r="U1" t="s">
        <v>101</v>
      </c>
      <c r="V1" t="s">
        <v>102</v>
      </c>
      <c r="W1" t="s">
        <v>103</v>
      </c>
      <c r="X1" t="s">
        <v>28</v>
      </c>
      <c r="Y1" t="s">
        <v>104</v>
      </c>
      <c r="Z1" t="s">
        <v>105</v>
      </c>
      <c r="AA1" t="s">
        <v>106</v>
      </c>
      <c r="AB1" t="s">
        <v>107</v>
      </c>
    </row>
    <row r="2" spans="1:28">
      <c r="D2" s="5">
        <v>45658</v>
      </c>
      <c r="E2" s="5">
        <f>D2+7</f>
        <v>45665</v>
      </c>
      <c r="F2" s="5">
        <f t="shared" ref="F2:H2" si="0">E2+7</f>
        <v>45672</v>
      </c>
      <c r="G2" s="5">
        <f t="shared" si="0"/>
        <v>45679</v>
      </c>
      <c r="H2" s="5">
        <f t="shared" si="0"/>
        <v>45686</v>
      </c>
      <c r="I2" s="7">
        <v>45658</v>
      </c>
      <c r="J2" s="7">
        <f>I2+7</f>
        <v>45665</v>
      </c>
      <c r="K2" s="7">
        <f t="shared" ref="K2:M2" si="1">J2+7</f>
        <v>45672</v>
      </c>
      <c r="L2" s="7">
        <f t="shared" si="1"/>
        <v>45679</v>
      </c>
      <c r="M2" s="7">
        <f t="shared" si="1"/>
        <v>45686</v>
      </c>
      <c r="N2" s="9">
        <v>45658</v>
      </c>
      <c r="O2" s="9">
        <f>N2+7</f>
        <v>45665</v>
      </c>
      <c r="P2" s="9">
        <f t="shared" ref="P2:R2" si="2">O2+7</f>
        <v>45672</v>
      </c>
      <c r="Q2" s="9">
        <f t="shared" si="2"/>
        <v>45679</v>
      </c>
      <c r="R2" s="9">
        <f t="shared" si="2"/>
        <v>45686</v>
      </c>
      <c r="S2" s="11">
        <v>45658</v>
      </c>
      <c r="T2" s="11">
        <f>S2+7</f>
        <v>45665</v>
      </c>
      <c r="U2" s="11">
        <f t="shared" ref="U2:W2" si="3">T2+7</f>
        <v>45672</v>
      </c>
      <c r="V2" s="11">
        <f t="shared" si="3"/>
        <v>45679</v>
      </c>
      <c r="W2" s="11">
        <f t="shared" si="3"/>
        <v>45686</v>
      </c>
      <c r="X2" s="13">
        <v>45658</v>
      </c>
      <c r="Y2" s="13">
        <f>X2+7</f>
        <v>45665</v>
      </c>
      <c r="Z2" s="13">
        <f t="shared" ref="Z2:AB2" si="4">Y2+7</f>
        <v>45672</v>
      </c>
      <c r="AA2" s="13">
        <f t="shared" si="4"/>
        <v>45679</v>
      </c>
      <c r="AB2" s="13">
        <f t="shared" si="4"/>
        <v>45686</v>
      </c>
    </row>
    <row r="3" spans="1:28">
      <c r="A3" s="1" t="s">
        <v>0</v>
      </c>
      <c r="B3" s="2" t="s">
        <v>8</v>
      </c>
      <c r="C3" s="3">
        <v>34</v>
      </c>
      <c r="D3" s="6">
        <v>42</v>
      </c>
      <c r="E3" s="6">
        <v>40</v>
      </c>
      <c r="F3" s="6">
        <v>56</v>
      </c>
      <c r="G3" s="6">
        <v>42</v>
      </c>
      <c r="H3" s="6">
        <v>42</v>
      </c>
      <c r="I3" s="8">
        <f>IF(D3&gt;40,D3-40,0)</f>
        <v>2</v>
      </c>
      <c r="J3" s="8">
        <v>2</v>
      </c>
      <c r="K3" s="8">
        <v>5</v>
      </c>
      <c r="L3" s="8">
        <v>4</v>
      </c>
      <c r="M3" s="8">
        <v>6</v>
      </c>
      <c r="N3" s="10">
        <f>$C3*D3</f>
        <v>1428</v>
      </c>
      <c r="O3" s="10">
        <f t="shared" ref="O3:R10" si="5">$C3*E3</f>
        <v>1360</v>
      </c>
      <c r="P3" s="10">
        <f t="shared" si="5"/>
        <v>1904</v>
      </c>
      <c r="Q3" s="10">
        <f t="shared" si="5"/>
        <v>1428</v>
      </c>
      <c r="R3" s="10">
        <f t="shared" si="5"/>
        <v>1428</v>
      </c>
      <c r="S3" s="12">
        <f>0.5*$C3*I3</f>
        <v>34</v>
      </c>
      <c r="T3" s="12">
        <f>0.5*$C3*J3</f>
        <v>34</v>
      </c>
      <c r="U3" s="12">
        <f t="shared" ref="T3:W10" si="6">0.5*$C3*K3</f>
        <v>85</v>
      </c>
      <c r="V3" s="12">
        <f t="shared" si="6"/>
        <v>68</v>
      </c>
      <c r="W3" s="12">
        <f t="shared" si="6"/>
        <v>102</v>
      </c>
      <c r="X3" s="14">
        <f>N3+S3</f>
        <v>1462</v>
      </c>
      <c r="Y3" s="14">
        <f t="shared" ref="Y3:AB10" si="7">O3+T3</f>
        <v>1394</v>
      </c>
      <c r="Z3" s="14">
        <f t="shared" si="7"/>
        <v>1989</v>
      </c>
      <c r="AA3" s="14">
        <f t="shared" si="7"/>
        <v>1496</v>
      </c>
      <c r="AB3" s="14">
        <f t="shared" si="7"/>
        <v>1530</v>
      </c>
    </row>
    <row r="4" spans="1:28">
      <c r="A4" s="1" t="s">
        <v>1</v>
      </c>
      <c r="B4" s="2" t="s">
        <v>9</v>
      </c>
      <c r="C4" s="3">
        <v>45</v>
      </c>
      <c r="D4" s="6">
        <v>46</v>
      </c>
      <c r="E4" s="6">
        <v>45</v>
      </c>
      <c r="F4" s="6">
        <v>42</v>
      </c>
      <c r="G4" s="6">
        <v>43</v>
      </c>
      <c r="H4" s="6">
        <v>46</v>
      </c>
      <c r="I4" s="8">
        <f t="shared" ref="I4:I10" si="8">IF(D4&gt;40,D4-40,0)</f>
        <v>6</v>
      </c>
      <c r="J4" s="8">
        <v>3</v>
      </c>
      <c r="K4" s="8">
        <v>4</v>
      </c>
      <c r="L4" s="8">
        <v>2</v>
      </c>
      <c r="M4" s="8">
        <v>7</v>
      </c>
      <c r="N4" s="10">
        <f t="shared" ref="N4:N10" si="9">$C4*D4</f>
        <v>2070</v>
      </c>
      <c r="O4" s="10">
        <f t="shared" si="5"/>
        <v>2025</v>
      </c>
      <c r="P4" s="10">
        <f t="shared" si="5"/>
        <v>1890</v>
      </c>
      <c r="Q4" s="10">
        <f t="shared" si="5"/>
        <v>1935</v>
      </c>
      <c r="R4" s="10">
        <f t="shared" si="5"/>
        <v>2070</v>
      </c>
      <c r="S4" s="12">
        <f t="shared" ref="S4:S10" si="10">0.5*$C4*I4</f>
        <v>135</v>
      </c>
      <c r="T4" s="12">
        <f t="shared" si="6"/>
        <v>67.5</v>
      </c>
      <c r="U4" s="12">
        <f t="shared" si="6"/>
        <v>90</v>
      </c>
      <c r="V4" s="12">
        <f t="shared" si="6"/>
        <v>45</v>
      </c>
      <c r="W4" s="12">
        <f t="shared" si="6"/>
        <v>157.5</v>
      </c>
      <c r="X4" s="14">
        <f t="shared" ref="X4:X10" si="11">N4+S4</f>
        <v>2205</v>
      </c>
      <c r="Y4" s="14">
        <f t="shared" si="7"/>
        <v>2092.5</v>
      </c>
      <c r="Z4" s="14">
        <f t="shared" si="7"/>
        <v>1980</v>
      </c>
      <c r="AA4" s="14">
        <f t="shared" si="7"/>
        <v>1980</v>
      </c>
      <c r="AB4" s="14">
        <f t="shared" si="7"/>
        <v>2227.5</v>
      </c>
    </row>
    <row r="5" spans="1:28">
      <c r="A5" s="1" t="s">
        <v>2</v>
      </c>
      <c r="B5" s="2" t="s">
        <v>10</v>
      </c>
      <c r="C5" s="3">
        <v>21</v>
      </c>
      <c r="D5" s="6">
        <v>25</v>
      </c>
      <c r="E5" s="6">
        <v>3</v>
      </c>
      <c r="F5" s="6">
        <v>43</v>
      </c>
      <c r="G5" s="6">
        <v>40</v>
      </c>
      <c r="H5" s="6">
        <v>25</v>
      </c>
      <c r="I5" s="8">
        <f t="shared" si="8"/>
        <v>0</v>
      </c>
      <c r="J5" s="8">
        <v>2</v>
      </c>
      <c r="K5" s="8">
        <v>3</v>
      </c>
      <c r="L5" s="8">
        <v>2</v>
      </c>
      <c r="M5" s="8">
        <v>3</v>
      </c>
      <c r="N5" s="10">
        <f t="shared" si="9"/>
        <v>525</v>
      </c>
      <c r="O5" s="10">
        <f t="shared" si="5"/>
        <v>63</v>
      </c>
      <c r="P5" s="10">
        <f t="shared" si="5"/>
        <v>903</v>
      </c>
      <c r="Q5" s="10">
        <f t="shared" si="5"/>
        <v>840</v>
      </c>
      <c r="R5" s="10">
        <f t="shared" si="5"/>
        <v>525</v>
      </c>
      <c r="S5" s="12">
        <f t="shared" si="10"/>
        <v>0</v>
      </c>
      <c r="T5" s="12">
        <f t="shared" si="6"/>
        <v>21</v>
      </c>
      <c r="U5" s="12">
        <f t="shared" si="6"/>
        <v>31.5</v>
      </c>
      <c r="V5" s="12">
        <f t="shared" si="6"/>
        <v>21</v>
      </c>
      <c r="W5" s="12">
        <f t="shared" si="6"/>
        <v>31.5</v>
      </c>
      <c r="X5" s="14">
        <f t="shared" si="11"/>
        <v>525</v>
      </c>
      <c r="Y5" s="14">
        <f t="shared" si="7"/>
        <v>84</v>
      </c>
      <c r="Z5" s="14">
        <f t="shared" si="7"/>
        <v>934.5</v>
      </c>
      <c r="AA5" s="14">
        <f t="shared" si="7"/>
        <v>861</v>
      </c>
      <c r="AB5" s="14">
        <f t="shared" si="7"/>
        <v>556.5</v>
      </c>
    </row>
    <row r="6" spans="1:28">
      <c r="A6" s="1" t="s">
        <v>3</v>
      </c>
      <c r="B6" s="2" t="s">
        <v>11</v>
      </c>
      <c r="C6" s="3">
        <v>65</v>
      </c>
      <c r="D6" s="6">
        <v>56</v>
      </c>
      <c r="E6" s="6">
        <v>42</v>
      </c>
      <c r="F6" s="6">
        <v>46</v>
      </c>
      <c r="G6" s="6">
        <v>67</v>
      </c>
      <c r="H6" s="6">
        <v>56</v>
      </c>
      <c r="I6" s="8">
        <f t="shared" si="8"/>
        <v>16</v>
      </c>
      <c r="J6" s="8">
        <v>12</v>
      </c>
      <c r="K6" s="8">
        <v>4</v>
      </c>
      <c r="L6" s="8">
        <v>1</v>
      </c>
      <c r="M6" s="8">
        <v>2</v>
      </c>
      <c r="N6" s="10">
        <f t="shared" si="9"/>
        <v>3640</v>
      </c>
      <c r="O6" s="10">
        <f t="shared" si="5"/>
        <v>2730</v>
      </c>
      <c r="P6" s="10">
        <f t="shared" si="5"/>
        <v>2990</v>
      </c>
      <c r="Q6" s="10">
        <f t="shared" si="5"/>
        <v>4355</v>
      </c>
      <c r="R6" s="10">
        <f t="shared" si="5"/>
        <v>3640</v>
      </c>
      <c r="S6" s="12">
        <f t="shared" si="10"/>
        <v>520</v>
      </c>
      <c r="T6" s="12">
        <f t="shared" si="6"/>
        <v>390</v>
      </c>
      <c r="U6" s="12">
        <f t="shared" si="6"/>
        <v>130</v>
      </c>
      <c r="V6" s="12">
        <f t="shared" si="6"/>
        <v>32.5</v>
      </c>
      <c r="W6" s="12">
        <f t="shared" si="6"/>
        <v>65</v>
      </c>
      <c r="X6" s="14">
        <f t="shared" si="11"/>
        <v>4160</v>
      </c>
      <c r="Y6" s="14">
        <f t="shared" si="7"/>
        <v>3120</v>
      </c>
      <c r="Z6" s="14">
        <f t="shared" si="7"/>
        <v>3120</v>
      </c>
      <c r="AA6" s="14">
        <f t="shared" si="7"/>
        <v>4387.5</v>
      </c>
      <c r="AB6" s="14">
        <f t="shared" si="7"/>
        <v>3705</v>
      </c>
    </row>
    <row r="7" spans="1:28">
      <c r="A7" s="1" t="s">
        <v>4</v>
      </c>
      <c r="B7" s="1" t="s">
        <v>12</v>
      </c>
      <c r="C7" s="3">
        <v>32</v>
      </c>
      <c r="D7" s="6">
        <v>78</v>
      </c>
      <c r="E7" s="6">
        <v>45</v>
      </c>
      <c r="F7" s="6">
        <v>47</v>
      </c>
      <c r="G7" s="6">
        <v>24</v>
      </c>
      <c r="H7" s="6">
        <v>78</v>
      </c>
      <c r="I7" s="8">
        <f t="shared" si="8"/>
        <v>38</v>
      </c>
      <c r="J7" s="8">
        <v>5</v>
      </c>
      <c r="K7" s="8">
        <v>5</v>
      </c>
      <c r="L7" s="8">
        <v>5</v>
      </c>
      <c r="M7" s="8">
        <v>4</v>
      </c>
      <c r="N7" s="10">
        <f t="shared" si="9"/>
        <v>2496</v>
      </c>
      <c r="O7" s="10">
        <f t="shared" si="5"/>
        <v>1440</v>
      </c>
      <c r="P7" s="10">
        <f t="shared" si="5"/>
        <v>1504</v>
      </c>
      <c r="Q7" s="10">
        <f t="shared" si="5"/>
        <v>768</v>
      </c>
      <c r="R7" s="10">
        <f t="shared" si="5"/>
        <v>2496</v>
      </c>
      <c r="S7" s="12">
        <f t="shared" si="10"/>
        <v>608</v>
      </c>
      <c r="T7" s="12">
        <f t="shared" si="6"/>
        <v>80</v>
      </c>
      <c r="U7" s="12">
        <f t="shared" si="6"/>
        <v>80</v>
      </c>
      <c r="V7" s="12">
        <f t="shared" si="6"/>
        <v>80</v>
      </c>
      <c r="W7" s="12">
        <f t="shared" si="6"/>
        <v>64</v>
      </c>
      <c r="X7" s="14">
        <f t="shared" si="11"/>
        <v>3104</v>
      </c>
      <c r="Y7" s="14">
        <f t="shared" si="7"/>
        <v>1520</v>
      </c>
      <c r="Z7" s="14">
        <f t="shared" si="7"/>
        <v>1584</v>
      </c>
      <c r="AA7" s="14">
        <f t="shared" si="7"/>
        <v>848</v>
      </c>
      <c r="AB7" s="14">
        <f t="shared" si="7"/>
        <v>2560</v>
      </c>
    </row>
    <row r="8" spans="1:28">
      <c r="A8" s="1" t="s">
        <v>5</v>
      </c>
      <c r="B8" s="1" t="s">
        <v>13</v>
      </c>
      <c r="C8" s="3">
        <v>67</v>
      </c>
      <c r="D8" s="6">
        <v>56</v>
      </c>
      <c r="E8" s="6">
        <v>13</v>
      </c>
      <c r="F8" s="6">
        <v>49</v>
      </c>
      <c r="G8" s="6">
        <v>21</v>
      </c>
      <c r="H8" s="6">
        <v>56</v>
      </c>
      <c r="I8" s="8">
        <f t="shared" si="8"/>
        <v>16</v>
      </c>
      <c r="J8" s="8">
        <v>6</v>
      </c>
      <c r="K8" s="8">
        <v>4</v>
      </c>
      <c r="L8" s="8">
        <v>6</v>
      </c>
      <c r="M8" s="8">
        <v>2</v>
      </c>
      <c r="N8" s="10">
        <f t="shared" si="9"/>
        <v>3752</v>
      </c>
      <c r="O8" s="10">
        <f t="shared" si="5"/>
        <v>871</v>
      </c>
      <c r="P8" s="10">
        <f t="shared" si="5"/>
        <v>3283</v>
      </c>
      <c r="Q8" s="10">
        <f t="shared" si="5"/>
        <v>1407</v>
      </c>
      <c r="R8" s="10">
        <f t="shared" si="5"/>
        <v>3752</v>
      </c>
      <c r="S8" s="12">
        <f t="shared" si="10"/>
        <v>536</v>
      </c>
      <c r="T8" s="12">
        <f t="shared" si="6"/>
        <v>201</v>
      </c>
      <c r="U8" s="12">
        <f t="shared" si="6"/>
        <v>134</v>
      </c>
      <c r="V8" s="12">
        <f t="shared" si="6"/>
        <v>201</v>
      </c>
      <c r="W8" s="12">
        <f t="shared" si="6"/>
        <v>67</v>
      </c>
      <c r="X8" s="14">
        <f t="shared" si="11"/>
        <v>4288</v>
      </c>
      <c r="Y8" s="14">
        <f t="shared" si="7"/>
        <v>1072</v>
      </c>
      <c r="Z8" s="14">
        <f t="shared" si="7"/>
        <v>3417</v>
      </c>
      <c r="AA8" s="14">
        <f t="shared" si="7"/>
        <v>1608</v>
      </c>
      <c r="AB8" s="14">
        <f t="shared" si="7"/>
        <v>3819</v>
      </c>
    </row>
    <row r="9" spans="1:28">
      <c r="A9" s="1" t="s">
        <v>6</v>
      </c>
      <c r="B9" s="1" t="s">
        <v>14</v>
      </c>
      <c r="C9" s="3">
        <v>75</v>
      </c>
      <c r="D9" s="6">
        <v>34</v>
      </c>
      <c r="E9" s="6">
        <v>65</v>
      </c>
      <c r="F9" s="6">
        <v>40</v>
      </c>
      <c r="G9" s="6">
        <v>43</v>
      </c>
      <c r="H9" s="6">
        <v>34</v>
      </c>
      <c r="I9" s="8">
        <f t="shared" si="8"/>
        <v>0</v>
      </c>
      <c r="J9" s="8">
        <v>7</v>
      </c>
      <c r="K9" s="8">
        <v>2</v>
      </c>
      <c r="L9" s="8">
        <v>7</v>
      </c>
      <c r="M9" s="8">
        <v>0</v>
      </c>
      <c r="N9" s="10">
        <f t="shared" si="9"/>
        <v>2550</v>
      </c>
      <c r="O9" s="10">
        <f t="shared" si="5"/>
        <v>4875</v>
      </c>
      <c r="P9" s="10">
        <f t="shared" si="5"/>
        <v>3000</v>
      </c>
      <c r="Q9" s="10">
        <f t="shared" si="5"/>
        <v>3225</v>
      </c>
      <c r="R9" s="10">
        <f t="shared" si="5"/>
        <v>2550</v>
      </c>
      <c r="S9" s="12">
        <f t="shared" si="10"/>
        <v>0</v>
      </c>
      <c r="T9" s="12">
        <f t="shared" si="6"/>
        <v>262.5</v>
      </c>
      <c r="U9" s="12">
        <f t="shared" si="6"/>
        <v>75</v>
      </c>
      <c r="V9" s="12">
        <f t="shared" si="6"/>
        <v>262.5</v>
      </c>
      <c r="W9" s="12">
        <f t="shared" si="6"/>
        <v>0</v>
      </c>
      <c r="X9" s="14">
        <f t="shared" si="11"/>
        <v>2550</v>
      </c>
      <c r="Y9" s="14">
        <f t="shared" si="7"/>
        <v>5137.5</v>
      </c>
      <c r="Z9" s="14">
        <f t="shared" si="7"/>
        <v>3075</v>
      </c>
      <c r="AA9" s="14">
        <f t="shared" si="7"/>
        <v>3487.5</v>
      </c>
      <c r="AB9" s="14">
        <f t="shared" si="7"/>
        <v>2550</v>
      </c>
    </row>
    <row r="10" spans="1:28">
      <c r="A10" s="1" t="s">
        <v>7</v>
      </c>
      <c r="B10" s="2" t="s">
        <v>15</v>
      </c>
      <c r="C10" s="3">
        <v>762</v>
      </c>
      <c r="D10" s="6">
        <v>89</v>
      </c>
      <c r="E10" s="6">
        <v>43</v>
      </c>
      <c r="F10" s="6">
        <v>56</v>
      </c>
      <c r="G10" s="6">
        <v>56</v>
      </c>
      <c r="H10" s="6">
        <v>89</v>
      </c>
      <c r="I10" s="8">
        <f t="shared" si="8"/>
        <v>49</v>
      </c>
      <c r="J10" s="8">
        <v>4</v>
      </c>
      <c r="K10" s="8">
        <v>5</v>
      </c>
      <c r="L10" s="8">
        <v>8</v>
      </c>
      <c r="M10" s="8">
        <v>1</v>
      </c>
      <c r="N10" s="10">
        <f t="shared" si="9"/>
        <v>67818</v>
      </c>
      <c r="O10" s="10">
        <f t="shared" si="5"/>
        <v>32766</v>
      </c>
      <c r="P10" s="10">
        <f t="shared" si="5"/>
        <v>42672</v>
      </c>
      <c r="Q10" s="10">
        <f>$C10*G10</f>
        <v>42672</v>
      </c>
      <c r="R10" s="10">
        <f t="shared" si="5"/>
        <v>67818</v>
      </c>
      <c r="S10" s="12">
        <f t="shared" si="10"/>
        <v>18669</v>
      </c>
      <c r="T10" s="12">
        <f t="shared" si="6"/>
        <v>1524</v>
      </c>
      <c r="U10" s="12">
        <f t="shared" si="6"/>
        <v>1905</v>
      </c>
      <c r="V10" s="12">
        <f t="shared" si="6"/>
        <v>3048</v>
      </c>
      <c r="W10" s="12">
        <f t="shared" si="6"/>
        <v>381</v>
      </c>
      <c r="X10" s="14">
        <f t="shared" si="11"/>
        <v>86487</v>
      </c>
      <c r="Y10" s="14">
        <f t="shared" si="7"/>
        <v>34290</v>
      </c>
      <c r="Z10" s="14">
        <f t="shared" si="7"/>
        <v>44577</v>
      </c>
      <c r="AA10" s="14">
        <f t="shared" si="7"/>
        <v>45720</v>
      </c>
      <c r="AB10" s="14">
        <f t="shared" si="7"/>
        <v>68199</v>
      </c>
    </row>
    <row r="11" spans="1:28">
      <c r="Q11" s="3"/>
    </row>
    <row r="14" spans="1:28">
      <c r="A14" s="4"/>
      <c r="S14" s="3"/>
      <c r="T14" s="3"/>
      <c r="U14" s="3"/>
      <c r="V14" s="3"/>
      <c r="W14" s="3"/>
    </row>
    <row r="15" spans="1:28">
      <c r="A15" s="4"/>
      <c r="S15" s="3"/>
      <c r="T15" s="3"/>
      <c r="U15" s="3"/>
      <c r="V15" s="3"/>
      <c r="W15" s="3"/>
    </row>
    <row r="16" spans="1:28">
      <c r="A16" s="4"/>
      <c r="S16" s="3"/>
      <c r="T16" s="3"/>
      <c r="U16" s="3"/>
      <c r="V16" s="3"/>
      <c r="W16" s="3"/>
    </row>
    <row r="17" spans="1:28">
      <c r="A17" s="4"/>
      <c r="S17" s="3"/>
      <c r="T17" s="3"/>
      <c r="U17" s="3"/>
      <c r="V17" s="3"/>
      <c r="W17" s="3"/>
    </row>
    <row r="22" spans="1:28">
      <c r="C22" s="3">
        <f>MAX(C3:C10)</f>
        <v>762</v>
      </c>
      <c r="D22" s="3">
        <f>MAX(D3:D10)</f>
        <v>89</v>
      </c>
      <c r="E22" s="3">
        <f>MAX(E3:E10)</f>
        <v>65</v>
      </c>
      <c r="F22" s="3">
        <f t="shared" ref="F22:H22" si="12">MAX(F3:F10)</f>
        <v>56</v>
      </c>
      <c r="G22" s="3">
        <f t="shared" si="12"/>
        <v>67</v>
      </c>
      <c r="H22" s="3">
        <f t="shared" si="12"/>
        <v>89</v>
      </c>
      <c r="I22" s="3">
        <f>MAX(I3:I10)</f>
        <v>49</v>
      </c>
      <c r="J22" s="3">
        <f t="shared" ref="J22:M22" si="13">MAX(J3:J10)</f>
        <v>12</v>
      </c>
      <c r="K22" s="3">
        <f t="shared" si="13"/>
        <v>5</v>
      </c>
      <c r="L22" s="3">
        <f t="shared" si="13"/>
        <v>8</v>
      </c>
      <c r="M22" s="3">
        <f t="shared" si="13"/>
        <v>7</v>
      </c>
      <c r="N22" s="3">
        <f>MAX(N3:N10)</f>
        <v>67818</v>
      </c>
      <c r="O22" s="3">
        <f t="shared" ref="O22:R22" si="14">MAX(O3:O10)</f>
        <v>32766</v>
      </c>
      <c r="P22" s="3">
        <f t="shared" si="14"/>
        <v>42672</v>
      </c>
      <c r="Q22" s="3">
        <f t="shared" si="14"/>
        <v>42672</v>
      </c>
      <c r="R22" s="3">
        <f t="shared" si="14"/>
        <v>67818</v>
      </c>
      <c r="S22" s="3">
        <f>MAX(S3:S10)</f>
        <v>18669</v>
      </c>
      <c r="T22" s="3">
        <f t="shared" ref="T22:W22" si="15">MAX(T3:T10)</f>
        <v>1524</v>
      </c>
      <c r="U22" s="3">
        <f t="shared" si="15"/>
        <v>1905</v>
      </c>
      <c r="V22" s="3">
        <f t="shared" si="15"/>
        <v>3048</v>
      </c>
      <c r="W22" s="3">
        <f t="shared" si="15"/>
        <v>381</v>
      </c>
      <c r="X22" s="3">
        <f>MAX(X3:X10)</f>
        <v>86487</v>
      </c>
      <c r="Y22" s="3">
        <f t="shared" ref="Y22:AB22" si="16">MAX(Y3:Y10)</f>
        <v>34290</v>
      </c>
      <c r="Z22" s="3">
        <f t="shared" si="16"/>
        <v>44577</v>
      </c>
      <c r="AA22" s="3">
        <f t="shared" si="16"/>
        <v>45720</v>
      </c>
      <c r="AB22" s="3">
        <f t="shared" si="16"/>
        <v>68199</v>
      </c>
    </row>
    <row r="23" spans="1:28">
      <c r="A23" s="4" t="s">
        <v>22</v>
      </c>
      <c r="C23" s="3">
        <f>MIN(C3:C10)</f>
        <v>21</v>
      </c>
      <c r="D23" s="3">
        <f>MIN(D3:D10)</f>
        <v>25</v>
      </c>
      <c r="E23" s="3">
        <f>MIN(E3:E10)</f>
        <v>3</v>
      </c>
      <c r="F23" s="3">
        <f t="shared" ref="F23:H23" si="17">MIN(F3:F10)</f>
        <v>40</v>
      </c>
      <c r="G23" s="3">
        <f t="shared" si="17"/>
        <v>21</v>
      </c>
      <c r="H23" s="3">
        <f t="shared" si="17"/>
        <v>25</v>
      </c>
      <c r="I23" s="3">
        <f>MIN(I3:I10)</f>
        <v>0</v>
      </c>
      <c r="J23" s="3">
        <f t="shared" ref="J23:M23" si="18">MIN(J3:J10)</f>
        <v>2</v>
      </c>
      <c r="K23" s="3">
        <f t="shared" si="18"/>
        <v>2</v>
      </c>
      <c r="L23" s="3">
        <f t="shared" si="18"/>
        <v>1</v>
      </c>
      <c r="M23" s="3">
        <f t="shared" si="18"/>
        <v>0</v>
      </c>
      <c r="N23" s="3">
        <f>MIN(N3:N10)</f>
        <v>525</v>
      </c>
      <c r="O23" s="3">
        <f t="shared" ref="O23:R23" si="19">MIN(O3:O10)</f>
        <v>63</v>
      </c>
      <c r="P23" s="3">
        <f t="shared" si="19"/>
        <v>903</v>
      </c>
      <c r="Q23" s="3">
        <f t="shared" si="19"/>
        <v>768</v>
      </c>
      <c r="R23" s="3">
        <f t="shared" si="19"/>
        <v>525</v>
      </c>
      <c r="S23" s="3">
        <f>MIN(S3:S10)</f>
        <v>0</v>
      </c>
      <c r="T23" s="3">
        <f t="shared" ref="T23:W23" si="20">MIN(T3:T10)</f>
        <v>21</v>
      </c>
      <c r="U23" s="3">
        <f t="shared" si="20"/>
        <v>31.5</v>
      </c>
      <c r="V23" s="3">
        <f t="shared" si="20"/>
        <v>21</v>
      </c>
      <c r="W23" s="3">
        <f t="shared" si="20"/>
        <v>0</v>
      </c>
      <c r="X23" s="3">
        <f>MIN(X3:X10)</f>
        <v>525</v>
      </c>
      <c r="Y23" s="3">
        <f t="shared" ref="Y23:AB23" si="21">MIN(Y3:Y10)</f>
        <v>84</v>
      </c>
      <c r="Z23" s="3">
        <f t="shared" si="21"/>
        <v>934.5</v>
      </c>
      <c r="AA23" s="3">
        <f t="shared" si="21"/>
        <v>848</v>
      </c>
      <c r="AB23" s="3">
        <f t="shared" si="21"/>
        <v>556.5</v>
      </c>
    </row>
    <row r="24" spans="1:28">
      <c r="A24" s="4" t="s">
        <v>23</v>
      </c>
      <c r="C24" s="3">
        <f>AVERAGE(C3:C10)</f>
        <v>137.625</v>
      </c>
      <c r="D24" s="3">
        <f>AVERAGE(D3:D10)</f>
        <v>53.25</v>
      </c>
      <c r="E24" s="3">
        <f>AVERAGE(E3:E10)</f>
        <v>37</v>
      </c>
      <c r="F24" s="3">
        <f t="shared" ref="F24:H24" si="22">AVERAGE(F3:F10)</f>
        <v>47.375</v>
      </c>
      <c r="G24" s="3">
        <f t="shared" si="22"/>
        <v>42</v>
      </c>
      <c r="H24" s="3">
        <f t="shared" si="22"/>
        <v>53.25</v>
      </c>
      <c r="I24" s="3">
        <f>AVERAGE(I3:I10)</f>
        <v>15.875</v>
      </c>
      <c r="J24" s="3">
        <f t="shared" ref="J24:M24" si="23">AVERAGE(J3:J10)</f>
        <v>5.125</v>
      </c>
      <c r="K24" s="3">
        <f t="shared" si="23"/>
        <v>4</v>
      </c>
      <c r="L24" s="3">
        <f t="shared" si="23"/>
        <v>4.375</v>
      </c>
      <c r="M24" s="3">
        <f t="shared" si="23"/>
        <v>3.125</v>
      </c>
      <c r="N24" s="3">
        <f>AVERAGE(N3:N10)</f>
        <v>10534.875</v>
      </c>
      <c r="O24" s="3">
        <f t="shared" ref="O24:R24" si="24">AVERAGE(O3:O10)</f>
        <v>5766.25</v>
      </c>
      <c r="P24" s="3">
        <f t="shared" si="24"/>
        <v>7268.25</v>
      </c>
      <c r="Q24" s="3">
        <f t="shared" si="24"/>
        <v>7078.75</v>
      </c>
      <c r="R24" s="3">
        <f t="shared" si="24"/>
        <v>10534.875</v>
      </c>
      <c r="S24" s="3">
        <f>AVERAGE(S3:S10)</f>
        <v>2562.75</v>
      </c>
      <c r="T24" s="3">
        <f t="shared" ref="T24:W24" si="25">AVERAGE(T3:T10)</f>
        <v>322.5</v>
      </c>
      <c r="U24" s="3">
        <f t="shared" si="25"/>
        <v>316.3125</v>
      </c>
      <c r="V24" s="3">
        <f t="shared" si="25"/>
        <v>469.75</v>
      </c>
      <c r="W24" s="3">
        <f t="shared" si="25"/>
        <v>108.5</v>
      </c>
      <c r="X24" s="3">
        <f>AVERAGE(X3:X10)</f>
        <v>13097.625</v>
      </c>
      <c r="Y24" s="3">
        <f t="shared" ref="Y24:AB24" si="26">AVERAGE(Y3:Y10)</f>
        <v>6088.75</v>
      </c>
      <c r="Z24" s="3">
        <f t="shared" si="26"/>
        <v>7584.5625</v>
      </c>
      <c r="AA24" s="3">
        <f t="shared" si="26"/>
        <v>7548.5</v>
      </c>
      <c r="AB24" s="3">
        <f t="shared" si="26"/>
        <v>10643.375</v>
      </c>
    </row>
    <row r="25" spans="1:28">
      <c r="A25" s="4" t="s">
        <v>24</v>
      </c>
      <c r="C25" s="3">
        <f>SUM(C3:C10)</f>
        <v>1101</v>
      </c>
      <c r="D25" s="3">
        <f>SUM(D3:D10)</f>
        <v>426</v>
      </c>
      <c r="E25" s="3">
        <f>SUM(E3:E10)</f>
        <v>296</v>
      </c>
      <c r="F25" s="3">
        <f t="shared" ref="F25:H25" si="27">SUM(F3:F10)</f>
        <v>379</v>
      </c>
      <c r="G25" s="3">
        <f t="shared" si="27"/>
        <v>336</v>
      </c>
      <c r="H25" s="3">
        <f t="shared" si="27"/>
        <v>426</v>
      </c>
      <c r="I25" s="3">
        <f>SUM(I3:I10)</f>
        <v>127</v>
      </c>
      <c r="J25" s="3">
        <f t="shared" ref="J25:M25" si="28">SUM(J3:J10)</f>
        <v>41</v>
      </c>
      <c r="K25" s="3">
        <f t="shared" si="28"/>
        <v>32</v>
      </c>
      <c r="L25" s="3">
        <f t="shared" si="28"/>
        <v>35</v>
      </c>
      <c r="M25" s="3">
        <f t="shared" si="28"/>
        <v>25</v>
      </c>
      <c r="N25" s="3">
        <f>SUM(N3:N10)</f>
        <v>84279</v>
      </c>
      <c r="O25" s="3">
        <f t="shared" ref="O25:R25" si="29">SUM(O3:O10)</f>
        <v>46130</v>
      </c>
      <c r="P25" s="3">
        <f t="shared" si="29"/>
        <v>58146</v>
      </c>
      <c r="Q25" s="3">
        <f t="shared" si="29"/>
        <v>56630</v>
      </c>
      <c r="R25" s="3">
        <f t="shared" si="29"/>
        <v>84279</v>
      </c>
      <c r="S25" s="3">
        <f>SUM(S3:S10)</f>
        <v>20502</v>
      </c>
      <c r="T25" s="3">
        <f t="shared" ref="T25:W25" si="30">SUM(T3:T10)</f>
        <v>2580</v>
      </c>
      <c r="U25" s="3">
        <f t="shared" si="30"/>
        <v>2530.5</v>
      </c>
      <c r="V25" s="3">
        <f t="shared" si="30"/>
        <v>3758</v>
      </c>
      <c r="W25" s="3">
        <f t="shared" si="30"/>
        <v>868</v>
      </c>
      <c r="X25" s="3">
        <f>SUM(X3:X10)</f>
        <v>104781</v>
      </c>
      <c r="Y25" s="3">
        <f t="shared" ref="Y25:AB25" si="31">SUM(Y3:Y10)</f>
        <v>48710</v>
      </c>
      <c r="Z25" s="3">
        <f t="shared" si="31"/>
        <v>60676.5</v>
      </c>
      <c r="AA25" s="3">
        <f t="shared" si="31"/>
        <v>60388</v>
      </c>
      <c r="AB25" s="3">
        <f t="shared" si="31"/>
        <v>85147</v>
      </c>
    </row>
    <row r="26" spans="1:28">
      <c r="A26" s="4" t="s">
        <v>25</v>
      </c>
    </row>
  </sheetData>
  <conditionalFormatting sqref="B3:B4">
    <cfRule type="duplicateValues" dxfId="32" priority="1"/>
  </conditionalFormatting>
  <pageMargins left="0.7" right="0.7" top="0.75" bottom="0.75" header="0.3" footer="0.3"/>
  <pageSetup paperSize="9" scale="24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94819-F7D1-46E3-8D34-CC4DA9D1B0F2}">
  <sheetPr>
    <pageSetUpPr fitToPage="1"/>
  </sheetPr>
  <dimension ref="A1:N11"/>
  <sheetViews>
    <sheetView topLeftCell="A8" workbookViewId="0">
      <selection activeCell="D2" sqref="D2"/>
    </sheetView>
  </sheetViews>
  <sheetFormatPr defaultRowHeight="11.5"/>
  <cols>
    <col min="1" max="1" width="20.6328125" customWidth="1"/>
    <col min="2" max="2" width="27.08984375" customWidth="1"/>
    <col min="14" max="14" width="18" customWidth="1"/>
  </cols>
  <sheetData>
    <row r="1" spans="1:14">
      <c r="A1" t="s">
        <v>29</v>
      </c>
    </row>
    <row r="2" spans="1:14" ht="60">
      <c r="A2" t="s">
        <v>17</v>
      </c>
      <c r="B2" t="s">
        <v>18</v>
      </c>
      <c r="D2" s="15" t="s">
        <v>30</v>
      </c>
      <c r="E2" s="15" t="s">
        <v>31</v>
      </c>
      <c r="F2" s="15" t="s">
        <v>32</v>
      </c>
      <c r="G2" s="15" t="s">
        <v>33</v>
      </c>
      <c r="I2" s="15" t="s">
        <v>30</v>
      </c>
      <c r="J2" s="15" t="s">
        <v>31</v>
      </c>
      <c r="K2" s="15" t="s">
        <v>32</v>
      </c>
      <c r="L2" s="15" t="s">
        <v>33</v>
      </c>
      <c r="N2" t="s">
        <v>35</v>
      </c>
    </row>
    <row r="3" spans="1:14">
      <c r="C3" t="s">
        <v>34</v>
      </c>
      <c r="D3">
        <v>20</v>
      </c>
      <c r="E3">
        <v>10</v>
      </c>
      <c r="F3">
        <v>70</v>
      </c>
      <c r="G3">
        <v>1</v>
      </c>
    </row>
    <row r="4" spans="1:14">
      <c r="A4" s="1" t="s">
        <v>0</v>
      </c>
      <c r="B4" s="2" t="s">
        <v>8</v>
      </c>
      <c r="D4">
        <v>16</v>
      </c>
      <c r="E4">
        <v>3</v>
      </c>
      <c r="F4">
        <v>67</v>
      </c>
      <c r="G4">
        <v>1</v>
      </c>
      <c r="I4" s="16">
        <f>D4/D$3</f>
        <v>0.8</v>
      </c>
      <c r="J4" s="16">
        <f>E4/E$3</f>
        <v>0.3</v>
      </c>
      <c r="K4" s="16">
        <f t="shared" ref="J4:L11" si="0">F4/F$3</f>
        <v>0.95714285714285718</v>
      </c>
      <c r="L4" s="16">
        <f t="shared" si="0"/>
        <v>1</v>
      </c>
      <c r="N4" s="16" t="b">
        <f>OR(I4&lt;0.5,J4&lt;0.5,K4&lt;0.5,L4=0)</f>
        <v>1</v>
      </c>
    </row>
    <row r="5" spans="1:14">
      <c r="A5" s="1" t="s">
        <v>1</v>
      </c>
      <c r="B5" s="2" t="s">
        <v>9</v>
      </c>
      <c r="D5">
        <v>2</v>
      </c>
      <c r="E5">
        <v>6</v>
      </c>
      <c r="F5">
        <v>56</v>
      </c>
      <c r="G5">
        <v>1</v>
      </c>
      <c r="I5" s="16">
        <f t="shared" ref="I5:I11" si="1">D5/D$3</f>
        <v>0.1</v>
      </c>
      <c r="J5" s="16">
        <f t="shared" si="0"/>
        <v>0.6</v>
      </c>
      <c r="K5" s="16">
        <f t="shared" si="0"/>
        <v>0.8</v>
      </c>
      <c r="L5" s="16">
        <f t="shared" si="0"/>
        <v>1</v>
      </c>
      <c r="N5" s="16" t="b">
        <f t="shared" ref="N5:N11" si="2">OR(I5&lt;0.5,J5&lt;0.5,K5&lt;0.5,L5=0)</f>
        <v>1</v>
      </c>
    </row>
    <row r="6" spans="1:14">
      <c r="A6" s="1" t="s">
        <v>2</v>
      </c>
      <c r="B6" s="2" t="s">
        <v>10</v>
      </c>
      <c r="D6">
        <v>12</v>
      </c>
      <c r="E6">
        <v>4</v>
      </c>
      <c r="F6">
        <v>45</v>
      </c>
      <c r="G6">
        <v>1</v>
      </c>
      <c r="I6" s="16">
        <f t="shared" si="1"/>
        <v>0.6</v>
      </c>
      <c r="J6" s="16">
        <f t="shared" si="0"/>
        <v>0.4</v>
      </c>
      <c r="K6" s="16">
        <f t="shared" si="0"/>
        <v>0.6428571428571429</v>
      </c>
      <c r="L6" s="16">
        <f t="shared" si="0"/>
        <v>1</v>
      </c>
      <c r="N6" s="16" t="b">
        <f t="shared" si="2"/>
        <v>1</v>
      </c>
    </row>
    <row r="7" spans="1:14">
      <c r="A7" s="1" t="s">
        <v>3</v>
      </c>
      <c r="B7" s="2" t="s">
        <v>11</v>
      </c>
      <c r="D7">
        <v>14</v>
      </c>
      <c r="E7">
        <v>0</v>
      </c>
      <c r="F7">
        <v>39</v>
      </c>
      <c r="G7">
        <v>0</v>
      </c>
      <c r="I7" s="16">
        <f t="shared" si="1"/>
        <v>0.7</v>
      </c>
      <c r="J7" s="16">
        <f t="shared" si="0"/>
        <v>0</v>
      </c>
      <c r="K7" s="16">
        <f t="shared" si="0"/>
        <v>0.55714285714285716</v>
      </c>
      <c r="L7" s="16">
        <f t="shared" si="0"/>
        <v>0</v>
      </c>
      <c r="N7" s="16" t="b">
        <f t="shared" si="2"/>
        <v>1</v>
      </c>
    </row>
    <row r="8" spans="1:14">
      <c r="A8" s="1" t="s">
        <v>4</v>
      </c>
      <c r="B8" s="1" t="s">
        <v>12</v>
      </c>
      <c r="D8">
        <v>3</v>
      </c>
      <c r="E8">
        <v>5</v>
      </c>
      <c r="F8">
        <v>55</v>
      </c>
      <c r="G8">
        <v>1</v>
      </c>
      <c r="I8" s="16">
        <f t="shared" si="1"/>
        <v>0.15</v>
      </c>
      <c r="J8" s="16">
        <f t="shared" si="0"/>
        <v>0.5</v>
      </c>
      <c r="K8" s="16">
        <f t="shared" si="0"/>
        <v>0.7857142857142857</v>
      </c>
      <c r="L8" s="16">
        <f t="shared" si="0"/>
        <v>1</v>
      </c>
      <c r="N8" s="16" t="b">
        <f t="shared" si="2"/>
        <v>1</v>
      </c>
    </row>
    <row r="9" spans="1:14">
      <c r="A9" s="1" t="s">
        <v>5</v>
      </c>
      <c r="B9" s="1" t="s">
        <v>13</v>
      </c>
      <c r="D9">
        <v>7</v>
      </c>
      <c r="E9">
        <v>2</v>
      </c>
      <c r="F9">
        <v>28</v>
      </c>
      <c r="G9">
        <v>1</v>
      </c>
      <c r="I9" s="16">
        <f t="shared" si="1"/>
        <v>0.35</v>
      </c>
      <c r="J9" s="16">
        <f t="shared" si="0"/>
        <v>0.2</v>
      </c>
      <c r="K9" s="16">
        <f t="shared" si="0"/>
        <v>0.4</v>
      </c>
      <c r="L9" s="16">
        <f t="shared" si="0"/>
        <v>1</v>
      </c>
      <c r="N9" s="16" t="b">
        <f t="shared" si="2"/>
        <v>1</v>
      </c>
    </row>
    <row r="10" spans="1:14">
      <c r="A10" s="1" t="s">
        <v>6</v>
      </c>
      <c r="B10" s="1" t="s">
        <v>14</v>
      </c>
      <c r="D10">
        <v>9</v>
      </c>
      <c r="E10">
        <v>1</v>
      </c>
      <c r="F10">
        <v>46</v>
      </c>
      <c r="G10">
        <v>1</v>
      </c>
      <c r="I10" s="16">
        <f t="shared" si="1"/>
        <v>0.45</v>
      </c>
      <c r="J10" s="16">
        <f t="shared" si="0"/>
        <v>0.1</v>
      </c>
      <c r="K10" s="16">
        <f t="shared" si="0"/>
        <v>0.65714285714285714</v>
      </c>
      <c r="L10" s="16">
        <f t="shared" si="0"/>
        <v>1</v>
      </c>
      <c r="N10" s="16" t="b">
        <f t="shared" si="2"/>
        <v>1</v>
      </c>
    </row>
    <row r="11" spans="1:14">
      <c r="A11" s="1" t="s">
        <v>7</v>
      </c>
      <c r="B11" s="2" t="s">
        <v>15</v>
      </c>
      <c r="D11">
        <v>10</v>
      </c>
      <c r="E11">
        <v>8</v>
      </c>
      <c r="F11">
        <v>50</v>
      </c>
      <c r="G11">
        <v>1</v>
      </c>
      <c r="I11" s="16">
        <f t="shared" si="1"/>
        <v>0.5</v>
      </c>
      <c r="J11" s="16">
        <f t="shared" si="0"/>
        <v>0.8</v>
      </c>
      <c r="K11" s="16">
        <f t="shared" si="0"/>
        <v>0.7142857142857143</v>
      </c>
      <c r="L11" s="16">
        <f t="shared" si="0"/>
        <v>1</v>
      </c>
      <c r="N11" s="16" t="b">
        <f t="shared" si="2"/>
        <v>0</v>
      </c>
    </row>
  </sheetData>
  <conditionalFormatting sqref="B4:B5">
    <cfRule type="duplicateValues" dxfId="31" priority="7"/>
  </conditionalFormatting>
  <conditionalFormatting sqref="G4:G11">
    <cfRule type="iconSet" priority="3">
      <iconSet iconSet="3Symbols2">
        <cfvo type="percent" val="0"/>
        <cfvo type="percent" val="33"/>
        <cfvo type="percent" val="67"/>
      </iconSet>
    </cfRule>
  </conditionalFormatting>
  <conditionalFormatting sqref="I4:L11">
    <cfRule type="cellIs" dxfId="30" priority="2" operator="lessThan">
      <formula>0.5</formula>
    </cfRule>
  </conditionalFormatting>
  <conditionalFormatting sqref="N4:N11">
    <cfRule type="cellIs" dxfId="29" priority="1" operator="equal">
      <formula>FALSE</formula>
    </cfRule>
  </conditionalFormatting>
  <pageMargins left="0.7" right="0.7" top="0.75" bottom="0.75" header="0.3" footer="0.3"/>
  <pageSetup paperSize="11" scale="39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" id="{E995776A-7933-4009-AF78-2177CFCA489F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D4:D11</xm:sqref>
        </x14:conditionalFormatting>
        <x14:conditionalFormatting xmlns:xm="http://schemas.microsoft.com/office/excel/2006/main">
          <x14:cfRule type="iconSet" priority="5" id="{34BAAC14-E67B-4A9E-807B-D576083B92B5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E4:E11</xm:sqref>
        </x14:conditionalFormatting>
        <x14:conditionalFormatting xmlns:xm="http://schemas.microsoft.com/office/excel/2006/main">
          <x14:cfRule type="iconSet" priority="4" id="{4D4D2C35-2054-4214-911E-8056C4AA2B70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F4:F11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D972D-1F0F-44A9-9CEF-CF38FAE30948}">
  <dimension ref="A1:Q178"/>
  <sheetViews>
    <sheetView tabSelected="1" topLeftCell="F1" workbookViewId="0">
      <selection activeCell="Q5" sqref="Q5"/>
    </sheetView>
  </sheetViews>
  <sheetFormatPr defaultRowHeight="11.5"/>
  <cols>
    <col min="1" max="1" width="12.7265625" customWidth="1"/>
    <col min="2" max="2" width="15.81640625" customWidth="1"/>
    <col min="3" max="3" width="28.36328125" customWidth="1"/>
    <col min="4" max="4" width="18.26953125" customWidth="1"/>
    <col min="5" max="5" width="14.453125" style="19" customWidth="1"/>
    <col min="6" max="6" width="19.26953125" style="19" customWidth="1"/>
    <col min="7" max="7" width="26" style="19" customWidth="1"/>
    <col min="8" max="8" width="34.08984375" customWidth="1"/>
    <col min="9" max="10" width="19.26953125" customWidth="1"/>
    <col min="11" max="11" width="14.54296875" customWidth="1"/>
  </cols>
  <sheetData>
    <row r="1" spans="1:17" s="22" customFormat="1" ht="46.5">
      <c r="A1" s="23" t="s">
        <v>36</v>
      </c>
      <c r="B1" s="23" t="s">
        <v>37</v>
      </c>
      <c r="C1" s="23" t="s">
        <v>38</v>
      </c>
      <c r="D1" s="23" t="s">
        <v>39</v>
      </c>
      <c r="E1" s="20" t="s">
        <v>40</v>
      </c>
      <c r="F1" s="20" t="s">
        <v>41</v>
      </c>
      <c r="G1" s="20" t="s">
        <v>42</v>
      </c>
      <c r="H1" s="23" t="s">
        <v>82</v>
      </c>
      <c r="I1" s="23" t="s">
        <v>72</v>
      </c>
      <c r="J1" s="23" t="s">
        <v>73</v>
      </c>
      <c r="K1" s="23" t="s">
        <v>43</v>
      </c>
      <c r="P1" s="22" t="s">
        <v>73</v>
      </c>
      <c r="Q1" s="22" t="s">
        <v>43</v>
      </c>
    </row>
    <row r="2" spans="1:17" ht="15.5">
      <c r="A2" s="25" t="s">
        <v>44</v>
      </c>
      <c r="B2" s="26">
        <v>1001</v>
      </c>
      <c r="C2" s="24">
        <v>9822</v>
      </c>
      <c r="D2" s="24" t="s">
        <v>45</v>
      </c>
      <c r="E2" s="21">
        <v>58.3</v>
      </c>
      <c r="F2" s="21">
        <v>88.4</v>
      </c>
      <c r="G2" s="21">
        <f>F2-E2</f>
        <v>30.100000000000009</v>
      </c>
      <c r="H2" s="21">
        <f>IF(F2&gt;50,G2*0.2,G2*0.1)</f>
        <v>6.0200000000000022</v>
      </c>
      <c r="I2" s="24" t="s">
        <v>74</v>
      </c>
      <c r="J2" s="24" t="s">
        <v>75</v>
      </c>
      <c r="K2" s="24" t="s">
        <v>46</v>
      </c>
      <c r="P2" s="24" t="s">
        <v>79</v>
      </c>
      <c r="Q2" s="24" t="s">
        <v>46</v>
      </c>
    </row>
    <row r="3" spans="1:17" ht="15.5">
      <c r="A3" s="25" t="s">
        <v>44</v>
      </c>
      <c r="B3" s="26">
        <v>1002</v>
      </c>
      <c r="C3" s="24">
        <v>2877</v>
      </c>
      <c r="D3" s="24" t="s">
        <v>47</v>
      </c>
      <c r="E3" s="21">
        <v>11.4</v>
      </c>
      <c r="F3" s="21">
        <v>16.3</v>
      </c>
      <c r="G3" s="21">
        <f t="shared" ref="G3:G66" si="0">F3-E3</f>
        <v>4.9000000000000004</v>
      </c>
      <c r="H3" s="21">
        <f t="shared" ref="H3:H66" si="1">IF(F3&gt;50,G3*0.2,G3*0.1)</f>
        <v>0.49000000000000005</v>
      </c>
      <c r="I3" s="24" t="s">
        <v>76</v>
      </c>
      <c r="J3" s="24" t="s">
        <v>77</v>
      </c>
      <c r="K3" s="24" t="s">
        <v>48</v>
      </c>
    </row>
    <row r="4" spans="1:17" ht="15.5">
      <c r="A4" s="25" t="s">
        <v>44</v>
      </c>
      <c r="B4" s="26">
        <v>1003</v>
      </c>
      <c r="C4" s="24">
        <v>2499</v>
      </c>
      <c r="D4" s="24" t="s">
        <v>49</v>
      </c>
      <c r="E4" s="21">
        <v>6.2</v>
      </c>
      <c r="F4" s="21">
        <v>9.1999999999999993</v>
      </c>
      <c r="G4" s="21">
        <f t="shared" si="0"/>
        <v>2.9999999999999991</v>
      </c>
      <c r="H4" s="21">
        <f t="shared" si="1"/>
        <v>0.29999999999999993</v>
      </c>
      <c r="I4" s="24" t="s">
        <v>78</v>
      </c>
      <c r="J4" s="24" t="s">
        <v>79</v>
      </c>
      <c r="K4" s="24" t="s">
        <v>50</v>
      </c>
    </row>
    <row r="5" spans="1:17" ht="15.5">
      <c r="A5" s="25" t="s">
        <v>44</v>
      </c>
      <c r="B5" s="26">
        <v>1004</v>
      </c>
      <c r="C5" s="24">
        <v>8722</v>
      </c>
      <c r="D5" s="24" t="s">
        <v>51</v>
      </c>
      <c r="E5" s="21">
        <v>344</v>
      </c>
      <c r="F5" s="21">
        <v>502</v>
      </c>
      <c r="G5" s="21">
        <f t="shared" si="0"/>
        <v>158</v>
      </c>
      <c r="H5" s="21">
        <f t="shared" si="1"/>
        <v>31.6</v>
      </c>
      <c r="I5" s="24" t="s">
        <v>74</v>
      </c>
      <c r="J5" s="24" t="s">
        <v>75</v>
      </c>
      <c r="K5" s="24" t="s">
        <v>50</v>
      </c>
    </row>
    <row r="6" spans="1:17" ht="15.5">
      <c r="A6" s="25" t="s">
        <v>44</v>
      </c>
      <c r="B6" s="26">
        <v>1005</v>
      </c>
      <c r="C6" s="24">
        <v>1109</v>
      </c>
      <c r="D6" s="24" t="s">
        <v>52</v>
      </c>
      <c r="E6" s="21">
        <v>3</v>
      </c>
      <c r="F6" s="21">
        <v>8</v>
      </c>
      <c r="G6" s="21">
        <f t="shared" si="0"/>
        <v>5</v>
      </c>
      <c r="H6" s="21">
        <f t="shared" si="1"/>
        <v>0.5</v>
      </c>
      <c r="I6" s="24" t="s">
        <v>78</v>
      </c>
      <c r="J6" s="24" t="s">
        <v>79</v>
      </c>
      <c r="K6" s="24" t="s">
        <v>50</v>
      </c>
    </row>
    <row r="7" spans="1:17" ht="15.5">
      <c r="A7" s="25" t="s">
        <v>44</v>
      </c>
      <c r="B7" s="26">
        <v>1006</v>
      </c>
      <c r="C7" s="24">
        <v>9822</v>
      </c>
      <c r="D7" s="24" t="s">
        <v>45</v>
      </c>
      <c r="E7" s="21">
        <v>58.3</v>
      </c>
      <c r="F7" s="21">
        <v>98.4</v>
      </c>
      <c r="G7" s="21">
        <f t="shared" si="0"/>
        <v>40.100000000000009</v>
      </c>
      <c r="H7" s="21">
        <f t="shared" si="1"/>
        <v>8.0200000000000014</v>
      </c>
      <c r="I7" s="24" t="s">
        <v>78</v>
      </c>
      <c r="J7" s="24" t="s">
        <v>79</v>
      </c>
      <c r="K7" s="24" t="s">
        <v>50</v>
      </c>
    </row>
    <row r="8" spans="1:17" ht="15.5">
      <c r="A8" s="25" t="s">
        <v>44</v>
      </c>
      <c r="B8" s="26">
        <v>1007</v>
      </c>
      <c r="C8" s="24">
        <v>1109</v>
      </c>
      <c r="D8" s="24" t="s">
        <v>52</v>
      </c>
      <c r="E8" s="21">
        <v>3</v>
      </c>
      <c r="F8" s="21">
        <v>8</v>
      </c>
      <c r="G8" s="21">
        <f t="shared" si="0"/>
        <v>5</v>
      </c>
      <c r="H8" s="21">
        <f t="shared" si="1"/>
        <v>0.5</v>
      </c>
      <c r="I8" s="24" t="s">
        <v>80</v>
      </c>
      <c r="J8" s="24" t="s">
        <v>81</v>
      </c>
      <c r="K8" s="24" t="s">
        <v>46</v>
      </c>
    </row>
    <row r="9" spans="1:17" ht="15.5">
      <c r="A9" s="25" t="s">
        <v>44</v>
      </c>
      <c r="B9" s="26">
        <v>1008</v>
      </c>
      <c r="C9" s="24">
        <v>2877</v>
      </c>
      <c r="D9" s="24" t="s">
        <v>47</v>
      </c>
      <c r="E9" s="21">
        <v>11.4</v>
      </c>
      <c r="F9" s="21">
        <v>16.3</v>
      </c>
      <c r="G9" s="21">
        <f t="shared" si="0"/>
        <v>4.9000000000000004</v>
      </c>
      <c r="H9" s="21">
        <f t="shared" si="1"/>
        <v>0.49000000000000005</v>
      </c>
      <c r="I9" s="24" t="s">
        <v>78</v>
      </c>
      <c r="J9" s="24" t="s">
        <v>79</v>
      </c>
      <c r="K9" s="24" t="s">
        <v>46</v>
      </c>
    </row>
    <row r="10" spans="1:17" ht="15.5">
      <c r="A10" s="25" t="s">
        <v>44</v>
      </c>
      <c r="B10" s="26">
        <v>1009</v>
      </c>
      <c r="C10" s="24">
        <v>1109</v>
      </c>
      <c r="D10" s="24" t="s">
        <v>52</v>
      </c>
      <c r="E10" s="21">
        <v>3</v>
      </c>
      <c r="F10" s="21">
        <v>8</v>
      </c>
      <c r="G10" s="21">
        <f t="shared" si="0"/>
        <v>5</v>
      </c>
      <c r="H10" s="21">
        <f t="shared" si="1"/>
        <v>0.5</v>
      </c>
      <c r="I10" s="24" t="s">
        <v>78</v>
      </c>
      <c r="J10" s="24" t="s">
        <v>79</v>
      </c>
      <c r="K10" s="24" t="s">
        <v>50</v>
      </c>
    </row>
    <row r="11" spans="1:17" ht="15.5">
      <c r="A11" s="25" t="s">
        <v>44</v>
      </c>
      <c r="B11" s="26">
        <v>1010</v>
      </c>
      <c r="C11" s="24">
        <v>2877</v>
      </c>
      <c r="D11" s="24" t="s">
        <v>47</v>
      </c>
      <c r="E11" s="21">
        <v>11.4</v>
      </c>
      <c r="F11" s="21">
        <v>16.3</v>
      </c>
      <c r="G11" s="21">
        <f t="shared" si="0"/>
        <v>4.9000000000000004</v>
      </c>
      <c r="H11" s="21">
        <f t="shared" si="1"/>
        <v>0.49000000000000005</v>
      </c>
      <c r="I11" s="24" t="s">
        <v>76</v>
      </c>
      <c r="J11" s="24" t="s">
        <v>77</v>
      </c>
      <c r="K11" s="24" t="s">
        <v>53</v>
      </c>
    </row>
    <row r="12" spans="1:17" ht="15.5">
      <c r="A12" s="25" t="s">
        <v>44</v>
      </c>
      <c r="B12" s="26">
        <v>1011</v>
      </c>
      <c r="C12" s="24">
        <v>2877</v>
      </c>
      <c r="D12" s="24" t="s">
        <v>47</v>
      </c>
      <c r="E12" s="21">
        <v>11.4</v>
      </c>
      <c r="F12" s="21">
        <v>16.3</v>
      </c>
      <c r="G12" s="21">
        <f t="shared" si="0"/>
        <v>4.9000000000000004</v>
      </c>
      <c r="H12" s="21">
        <f t="shared" si="1"/>
        <v>0.49000000000000005</v>
      </c>
      <c r="I12" s="24" t="s">
        <v>76</v>
      </c>
      <c r="J12" s="24" t="s">
        <v>77</v>
      </c>
      <c r="K12" s="24" t="s">
        <v>50</v>
      </c>
    </row>
    <row r="13" spans="1:17" ht="15.5">
      <c r="A13" s="25" t="s">
        <v>44</v>
      </c>
      <c r="B13" s="26">
        <v>1012</v>
      </c>
      <c r="C13" s="24">
        <v>4421</v>
      </c>
      <c r="D13" s="24" t="s">
        <v>54</v>
      </c>
      <c r="E13" s="21">
        <v>45</v>
      </c>
      <c r="F13" s="21">
        <v>87</v>
      </c>
      <c r="G13" s="21">
        <f t="shared" si="0"/>
        <v>42</v>
      </c>
      <c r="H13" s="21">
        <f t="shared" si="1"/>
        <v>8.4</v>
      </c>
      <c r="I13" s="24" t="s">
        <v>78</v>
      </c>
      <c r="J13" s="24" t="s">
        <v>79</v>
      </c>
      <c r="K13" s="24" t="s">
        <v>46</v>
      </c>
    </row>
    <row r="14" spans="1:17" ht="15.5">
      <c r="A14" s="25" t="s">
        <v>44</v>
      </c>
      <c r="B14" s="26">
        <v>1013</v>
      </c>
      <c r="C14" s="24">
        <v>9212</v>
      </c>
      <c r="D14" s="24" t="s">
        <v>55</v>
      </c>
      <c r="E14" s="21">
        <v>4</v>
      </c>
      <c r="F14" s="21">
        <v>7</v>
      </c>
      <c r="G14" s="21">
        <f t="shared" si="0"/>
        <v>3</v>
      </c>
      <c r="H14" s="21">
        <f t="shared" si="1"/>
        <v>0.30000000000000004</v>
      </c>
      <c r="I14" s="24" t="s">
        <v>80</v>
      </c>
      <c r="J14" s="24" t="s">
        <v>81</v>
      </c>
      <c r="K14" s="24" t="s">
        <v>53</v>
      </c>
    </row>
    <row r="15" spans="1:17" ht="15.5">
      <c r="A15" s="25" t="s">
        <v>44</v>
      </c>
      <c r="B15" s="26">
        <v>1014</v>
      </c>
      <c r="C15" s="24">
        <v>8722</v>
      </c>
      <c r="D15" s="24" t="s">
        <v>51</v>
      </c>
      <c r="E15" s="21">
        <v>344</v>
      </c>
      <c r="F15" s="21">
        <v>502</v>
      </c>
      <c r="G15" s="21">
        <f t="shared" si="0"/>
        <v>158</v>
      </c>
      <c r="H15" s="21">
        <f t="shared" si="1"/>
        <v>31.6</v>
      </c>
      <c r="I15" s="24" t="s">
        <v>74</v>
      </c>
      <c r="J15" s="24" t="s">
        <v>75</v>
      </c>
      <c r="K15" s="24" t="s">
        <v>48</v>
      </c>
    </row>
    <row r="16" spans="1:17" ht="15.5">
      <c r="A16" s="25" t="s">
        <v>44</v>
      </c>
      <c r="B16" s="26">
        <v>1015</v>
      </c>
      <c r="C16" s="24">
        <v>2877</v>
      </c>
      <c r="D16" s="24" t="s">
        <v>47</v>
      </c>
      <c r="E16" s="21">
        <v>11.4</v>
      </c>
      <c r="F16" s="21">
        <v>16.3</v>
      </c>
      <c r="G16" s="21">
        <f t="shared" si="0"/>
        <v>4.9000000000000004</v>
      </c>
      <c r="H16" s="21">
        <f t="shared" si="1"/>
        <v>0.49000000000000005</v>
      </c>
      <c r="I16" s="24" t="s">
        <v>80</v>
      </c>
      <c r="J16" s="24" t="s">
        <v>81</v>
      </c>
      <c r="K16" s="24" t="s">
        <v>50</v>
      </c>
    </row>
    <row r="17" spans="1:11" ht="15.5">
      <c r="A17" s="25" t="s">
        <v>44</v>
      </c>
      <c r="B17" s="26">
        <v>1016</v>
      </c>
      <c r="C17" s="24">
        <v>2499</v>
      </c>
      <c r="D17" s="24" t="s">
        <v>49</v>
      </c>
      <c r="E17" s="21">
        <v>6.2</v>
      </c>
      <c r="F17" s="21">
        <v>9.1999999999999993</v>
      </c>
      <c r="G17" s="21">
        <f t="shared" si="0"/>
        <v>2.9999999999999991</v>
      </c>
      <c r="H17" s="21">
        <f t="shared" si="1"/>
        <v>0.29999999999999993</v>
      </c>
      <c r="I17" s="24" t="s">
        <v>78</v>
      </c>
      <c r="J17" s="24" t="s">
        <v>79</v>
      </c>
      <c r="K17" s="24" t="s">
        <v>48</v>
      </c>
    </row>
    <row r="18" spans="1:11" ht="15.5">
      <c r="A18" s="25" t="s">
        <v>56</v>
      </c>
      <c r="B18" s="26">
        <v>1017</v>
      </c>
      <c r="C18" s="24">
        <v>2242</v>
      </c>
      <c r="D18" s="24" t="s">
        <v>57</v>
      </c>
      <c r="E18" s="21">
        <v>60</v>
      </c>
      <c r="F18" s="21">
        <v>124</v>
      </c>
      <c r="G18" s="21">
        <f t="shared" si="0"/>
        <v>64</v>
      </c>
      <c r="H18" s="21">
        <f t="shared" si="1"/>
        <v>12.8</v>
      </c>
      <c r="I18" s="24" t="s">
        <v>76</v>
      </c>
      <c r="J18" s="24" t="s">
        <v>77</v>
      </c>
      <c r="K18" s="24" t="s">
        <v>46</v>
      </c>
    </row>
    <row r="19" spans="1:11" ht="15.5">
      <c r="A19" s="25" t="s">
        <v>56</v>
      </c>
      <c r="B19" s="26">
        <v>1018</v>
      </c>
      <c r="C19" s="24">
        <v>1109</v>
      </c>
      <c r="D19" s="24" t="s">
        <v>52</v>
      </c>
      <c r="E19" s="21">
        <v>3</v>
      </c>
      <c r="F19" s="21">
        <v>8</v>
      </c>
      <c r="G19" s="21">
        <f t="shared" si="0"/>
        <v>5</v>
      </c>
      <c r="H19" s="21">
        <f t="shared" si="1"/>
        <v>0.5</v>
      </c>
      <c r="I19" s="24" t="s">
        <v>78</v>
      </c>
      <c r="J19" s="24" t="s">
        <v>79</v>
      </c>
      <c r="K19" s="24" t="s">
        <v>48</v>
      </c>
    </row>
    <row r="20" spans="1:11" ht="15.5">
      <c r="A20" s="25" t="s">
        <v>56</v>
      </c>
      <c r="B20" s="26">
        <v>1019</v>
      </c>
      <c r="C20" s="24">
        <v>2499</v>
      </c>
      <c r="D20" s="24" t="s">
        <v>49</v>
      </c>
      <c r="E20" s="21">
        <v>6.2</v>
      </c>
      <c r="F20" s="21">
        <v>9.1999999999999993</v>
      </c>
      <c r="G20" s="21">
        <f t="shared" si="0"/>
        <v>2.9999999999999991</v>
      </c>
      <c r="H20" s="21">
        <f t="shared" si="1"/>
        <v>0.29999999999999993</v>
      </c>
      <c r="I20" s="24" t="s">
        <v>78</v>
      </c>
      <c r="J20" s="24" t="s">
        <v>79</v>
      </c>
      <c r="K20" s="24" t="s">
        <v>53</v>
      </c>
    </row>
    <row r="21" spans="1:11" ht="15.5">
      <c r="A21" s="25" t="s">
        <v>56</v>
      </c>
      <c r="B21" s="26">
        <v>1020</v>
      </c>
      <c r="C21" s="24">
        <v>2499</v>
      </c>
      <c r="D21" s="24" t="s">
        <v>49</v>
      </c>
      <c r="E21" s="21">
        <v>6.2</v>
      </c>
      <c r="F21" s="21">
        <v>9.1999999999999993</v>
      </c>
      <c r="G21" s="21">
        <f t="shared" si="0"/>
        <v>2.9999999999999991</v>
      </c>
      <c r="H21" s="21">
        <f t="shared" si="1"/>
        <v>0.29999999999999993</v>
      </c>
      <c r="I21" s="24" t="s">
        <v>78</v>
      </c>
      <c r="J21" s="24" t="s">
        <v>79</v>
      </c>
      <c r="K21" s="24" t="s">
        <v>58</v>
      </c>
    </row>
    <row r="22" spans="1:11" ht="15.5">
      <c r="A22" s="25" t="s">
        <v>56</v>
      </c>
      <c r="B22" s="26">
        <v>1021</v>
      </c>
      <c r="C22" s="24">
        <v>1109</v>
      </c>
      <c r="D22" s="24" t="s">
        <v>52</v>
      </c>
      <c r="E22" s="21">
        <v>3</v>
      </c>
      <c r="F22" s="21">
        <v>8</v>
      </c>
      <c r="G22" s="21">
        <f t="shared" si="0"/>
        <v>5</v>
      </c>
      <c r="H22" s="21">
        <f t="shared" si="1"/>
        <v>0.5</v>
      </c>
      <c r="I22" s="24" t="s">
        <v>76</v>
      </c>
      <c r="J22" s="24" t="s">
        <v>77</v>
      </c>
      <c r="K22" s="24" t="s">
        <v>53</v>
      </c>
    </row>
    <row r="23" spans="1:11" ht="15.5">
      <c r="A23" s="25" t="s">
        <v>56</v>
      </c>
      <c r="B23" s="26">
        <v>1022</v>
      </c>
      <c r="C23" s="24">
        <v>2877</v>
      </c>
      <c r="D23" s="24" t="s">
        <v>47</v>
      </c>
      <c r="E23" s="21">
        <v>11.4</v>
      </c>
      <c r="F23" s="21">
        <v>16.3</v>
      </c>
      <c r="G23" s="21">
        <f t="shared" si="0"/>
        <v>4.9000000000000004</v>
      </c>
      <c r="H23" s="21">
        <f t="shared" si="1"/>
        <v>0.49000000000000005</v>
      </c>
      <c r="I23" s="24" t="s">
        <v>78</v>
      </c>
      <c r="J23" s="24" t="s">
        <v>79</v>
      </c>
      <c r="K23" s="24" t="s">
        <v>59</v>
      </c>
    </row>
    <row r="24" spans="1:11" ht="15.5">
      <c r="A24" s="25" t="s">
        <v>56</v>
      </c>
      <c r="B24" s="26">
        <v>1023</v>
      </c>
      <c r="C24" s="24">
        <v>1109</v>
      </c>
      <c r="D24" s="24" t="s">
        <v>52</v>
      </c>
      <c r="E24" s="21">
        <v>3</v>
      </c>
      <c r="F24" s="21">
        <v>8</v>
      </c>
      <c r="G24" s="21">
        <f t="shared" si="0"/>
        <v>5</v>
      </c>
      <c r="H24" s="21">
        <f t="shared" si="1"/>
        <v>0.5</v>
      </c>
      <c r="I24" s="24" t="s">
        <v>80</v>
      </c>
      <c r="J24" s="24" t="s">
        <v>81</v>
      </c>
      <c r="K24" s="24" t="s">
        <v>46</v>
      </c>
    </row>
    <row r="25" spans="1:11" ht="15.5">
      <c r="A25" s="25" t="s">
        <v>56</v>
      </c>
      <c r="B25" s="26">
        <v>1024</v>
      </c>
      <c r="C25" s="24">
        <v>9212</v>
      </c>
      <c r="D25" s="24" t="s">
        <v>55</v>
      </c>
      <c r="E25" s="21">
        <v>4</v>
      </c>
      <c r="F25" s="21">
        <v>7</v>
      </c>
      <c r="G25" s="21">
        <f t="shared" si="0"/>
        <v>3</v>
      </c>
      <c r="H25" s="21">
        <f t="shared" si="1"/>
        <v>0.30000000000000004</v>
      </c>
      <c r="I25" s="24" t="s">
        <v>76</v>
      </c>
      <c r="J25" s="24" t="s">
        <v>77</v>
      </c>
      <c r="K25" s="24" t="s">
        <v>59</v>
      </c>
    </row>
    <row r="26" spans="1:11" ht="15.5">
      <c r="A26" s="25" t="s">
        <v>56</v>
      </c>
      <c r="B26" s="26">
        <v>1025</v>
      </c>
      <c r="C26" s="24">
        <v>2877</v>
      </c>
      <c r="D26" s="24" t="s">
        <v>47</v>
      </c>
      <c r="E26" s="21">
        <v>11.4</v>
      </c>
      <c r="F26" s="21">
        <v>16.3</v>
      </c>
      <c r="G26" s="21">
        <f t="shared" si="0"/>
        <v>4.9000000000000004</v>
      </c>
      <c r="H26" s="21">
        <f t="shared" si="1"/>
        <v>0.49000000000000005</v>
      </c>
      <c r="I26" s="24" t="s">
        <v>80</v>
      </c>
      <c r="J26" s="24" t="s">
        <v>81</v>
      </c>
      <c r="K26" s="24" t="s">
        <v>58</v>
      </c>
    </row>
    <row r="27" spans="1:11" ht="15.5">
      <c r="A27" s="25" t="s">
        <v>56</v>
      </c>
      <c r="B27" s="26">
        <v>1026</v>
      </c>
      <c r="C27" s="24">
        <v>6119</v>
      </c>
      <c r="D27" s="24" t="s">
        <v>60</v>
      </c>
      <c r="E27" s="21">
        <v>9</v>
      </c>
      <c r="F27" s="21">
        <v>14</v>
      </c>
      <c r="G27" s="21">
        <f t="shared" si="0"/>
        <v>5</v>
      </c>
      <c r="H27" s="21">
        <f t="shared" si="1"/>
        <v>0.5</v>
      </c>
      <c r="I27" s="24" t="s">
        <v>80</v>
      </c>
      <c r="J27" s="24" t="s">
        <v>81</v>
      </c>
      <c r="K27" s="24" t="s">
        <v>46</v>
      </c>
    </row>
    <row r="28" spans="1:11" ht="15.5">
      <c r="A28" s="25" t="s">
        <v>56</v>
      </c>
      <c r="B28" s="26">
        <v>1027</v>
      </c>
      <c r="C28" s="24">
        <v>6119</v>
      </c>
      <c r="D28" s="24" t="s">
        <v>60</v>
      </c>
      <c r="E28" s="21">
        <v>9</v>
      </c>
      <c r="F28" s="21">
        <v>14</v>
      </c>
      <c r="G28" s="21">
        <f t="shared" si="0"/>
        <v>5</v>
      </c>
      <c r="H28" s="21">
        <f t="shared" si="1"/>
        <v>0.5</v>
      </c>
      <c r="I28" s="24" t="s">
        <v>74</v>
      </c>
      <c r="J28" s="24" t="s">
        <v>75</v>
      </c>
      <c r="K28" s="24" t="s">
        <v>58</v>
      </c>
    </row>
    <row r="29" spans="1:11" ht="15.5">
      <c r="A29" s="25" t="s">
        <v>56</v>
      </c>
      <c r="B29" s="26">
        <v>1028</v>
      </c>
      <c r="C29" s="24">
        <v>8722</v>
      </c>
      <c r="D29" s="24" t="s">
        <v>51</v>
      </c>
      <c r="E29" s="21">
        <v>344</v>
      </c>
      <c r="F29" s="21">
        <v>502</v>
      </c>
      <c r="G29" s="21">
        <f t="shared" si="0"/>
        <v>158</v>
      </c>
      <c r="H29" s="21">
        <f t="shared" si="1"/>
        <v>31.6</v>
      </c>
      <c r="I29" s="24" t="s">
        <v>74</v>
      </c>
      <c r="J29" s="24" t="s">
        <v>75</v>
      </c>
      <c r="K29" s="24" t="s">
        <v>50</v>
      </c>
    </row>
    <row r="30" spans="1:11" ht="15.5">
      <c r="A30" s="25" t="s">
        <v>56</v>
      </c>
      <c r="B30" s="26">
        <v>1029</v>
      </c>
      <c r="C30" s="24">
        <v>2499</v>
      </c>
      <c r="D30" s="24" t="s">
        <v>49</v>
      </c>
      <c r="E30" s="21">
        <v>6.2</v>
      </c>
      <c r="F30" s="21">
        <v>9.1999999999999993</v>
      </c>
      <c r="G30" s="21">
        <f t="shared" si="0"/>
        <v>2.9999999999999991</v>
      </c>
      <c r="H30" s="21">
        <f t="shared" si="1"/>
        <v>0.29999999999999993</v>
      </c>
      <c r="I30" s="24" t="s">
        <v>76</v>
      </c>
      <c r="J30" s="24" t="s">
        <v>77</v>
      </c>
      <c r="K30" s="24" t="s">
        <v>50</v>
      </c>
    </row>
    <row r="31" spans="1:11" ht="15.5">
      <c r="A31" s="25" t="s">
        <v>56</v>
      </c>
      <c r="B31" s="26">
        <v>1030</v>
      </c>
      <c r="C31" s="24">
        <v>4421</v>
      </c>
      <c r="D31" s="24" t="s">
        <v>54</v>
      </c>
      <c r="E31" s="21">
        <v>45</v>
      </c>
      <c r="F31" s="21">
        <v>87</v>
      </c>
      <c r="G31" s="21">
        <f t="shared" si="0"/>
        <v>42</v>
      </c>
      <c r="H31" s="21">
        <f t="shared" si="1"/>
        <v>8.4</v>
      </c>
      <c r="I31" s="24" t="s">
        <v>76</v>
      </c>
      <c r="J31" s="24" t="s">
        <v>77</v>
      </c>
      <c r="K31" s="24" t="s">
        <v>58</v>
      </c>
    </row>
    <row r="32" spans="1:11" ht="15.5">
      <c r="A32" s="25" t="s">
        <v>56</v>
      </c>
      <c r="B32" s="26">
        <v>1031</v>
      </c>
      <c r="C32" s="24">
        <v>1109</v>
      </c>
      <c r="D32" s="24" t="s">
        <v>52</v>
      </c>
      <c r="E32" s="21">
        <v>3</v>
      </c>
      <c r="F32" s="21">
        <v>8</v>
      </c>
      <c r="G32" s="21">
        <f t="shared" si="0"/>
        <v>5</v>
      </c>
      <c r="H32" s="21">
        <f t="shared" si="1"/>
        <v>0.5</v>
      </c>
      <c r="I32" s="24" t="s">
        <v>76</v>
      </c>
      <c r="J32" s="24" t="s">
        <v>77</v>
      </c>
      <c r="K32" s="24" t="s">
        <v>48</v>
      </c>
    </row>
    <row r="33" spans="1:11" ht="15.5">
      <c r="A33" s="25" t="s">
        <v>56</v>
      </c>
      <c r="B33" s="26">
        <v>1032</v>
      </c>
      <c r="C33" s="24">
        <v>2877</v>
      </c>
      <c r="D33" s="24" t="s">
        <v>47</v>
      </c>
      <c r="E33" s="21">
        <v>11.4</v>
      </c>
      <c r="F33" s="21">
        <v>16.3</v>
      </c>
      <c r="G33" s="21">
        <f t="shared" si="0"/>
        <v>4.9000000000000004</v>
      </c>
      <c r="H33" s="21">
        <f t="shared" si="1"/>
        <v>0.49000000000000005</v>
      </c>
      <c r="I33" s="24" t="s">
        <v>74</v>
      </c>
      <c r="J33" s="24" t="s">
        <v>75</v>
      </c>
      <c r="K33" s="24" t="s">
        <v>50</v>
      </c>
    </row>
    <row r="34" spans="1:11" ht="15.5">
      <c r="A34" s="25" t="s">
        <v>56</v>
      </c>
      <c r="B34" s="26">
        <v>1033</v>
      </c>
      <c r="C34" s="24">
        <v>9822</v>
      </c>
      <c r="D34" s="24" t="s">
        <v>45</v>
      </c>
      <c r="E34" s="21">
        <v>58.3</v>
      </c>
      <c r="F34" s="21">
        <v>98.4</v>
      </c>
      <c r="G34" s="21">
        <f t="shared" si="0"/>
        <v>40.100000000000009</v>
      </c>
      <c r="H34" s="21">
        <f t="shared" si="1"/>
        <v>8.0200000000000014</v>
      </c>
      <c r="I34" s="24" t="s">
        <v>76</v>
      </c>
      <c r="J34" s="24" t="s">
        <v>77</v>
      </c>
      <c r="K34" s="24" t="s">
        <v>48</v>
      </c>
    </row>
    <row r="35" spans="1:11" ht="15.5">
      <c r="A35" s="25" t="s">
        <v>56</v>
      </c>
      <c r="B35" s="26">
        <v>1034</v>
      </c>
      <c r="C35" s="24">
        <v>2877</v>
      </c>
      <c r="D35" s="24" t="s">
        <v>47</v>
      </c>
      <c r="E35" s="21">
        <v>11.4</v>
      </c>
      <c r="F35" s="21">
        <v>16.3</v>
      </c>
      <c r="G35" s="21">
        <f t="shared" si="0"/>
        <v>4.9000000000000004</v>
      </c>
      <c r="H35" s="21">
        <f t="shared" si="1"/>
        <v>0.49000000000000005</v>
      </c>
      <c r="I35" s="24" t="s">
        <v>76</v>
      </c>
      <c r="J35" s="24" t="s">
        <v>77</v>
      </c>
      <c r="K35" s="24" t="s">
        <v>53</v>
      </c>
    </row>
    <row r="36" spans="1:11" ht="15.5">
      <c r="A36" s="25" t="s">
        <v>61</v>
      </c>
      <c r="B36" s="26">
        <v>1035</v>
      </c>
      <c r="C36" s="24">
        <v>2499</v>
      </c>
      <c r="D36" s="24" t="s">
        <v>49</v>
      </c>
      <c r="E36" s="21">
        <v>6.2</v>
      </c>
      <c r="F36" s="21">
        <v>9.1999999999999993</v>
      </c>
      <c r="G36" s="21">
        <f t="shared" si="0"/>
        <v>2.9999999999999991</v>
      </c>
      <c r="H36" s="21">
        <f t="shared" si="1"/>
        <v>0.29999999999999993</v>
      </c>
      <c r="I36" s="24" t="s">
        <v>80</v>
      </c>
      <c r="J36" s="24" t="s">
        <v>81</v>
      </c>
      <c r="K36" s="24" t="s">
        <v>48</v>
      </c>
    </row>
    <row r="37" spans="1:11" ht="15.5">
      <c r="A37" s="25" t="s">
        <v>61</v>
      </c>
      <c r="B37" s="26">
        <v>1036</v>
      </c>
      <c r="C37" s="24">
        <v>2499</v>
      </c>
      <c r="D37" s="24" t="s">
        <v>49</v>
      </c>
      <c r="E37" s="21">
        <v>6.2</v>
      </c>
      <c r="F37" s="21">
        <v>9.1999999999999993</v>
      </c>
      <c r="G37" s="21">
        <f t="shared" si="0"/>
        <v>2.9999999999999991</v>
      </c>
      <c r="H37" s="21">
        <f t="shared" si="1"/>
        <v>0.29999999999999993</v>
      </c>
      <c r="I37" s="24" t="s">
        <v>76</v>
      </c>
      <c r="J37" s="24" t="s">
        <v>77</v>
      </c>
      <c r="K37" s="24" t="s">
        <v>58</v>
      </c>
    </row>
    <row r="38" spans="1:11" ht="15.5">
      <c r="A38" s="25" t="s">
        <v>61</v>
      </c>
      <c r="B38" s="26">
        <v>1037</v>
      </c>
      <c r="C38" s="24">
        <v>6622</v>
      </c>
      <c r="D38" s="24" t="s">
        <v>62</v>
      </c>
      <c r="E38" s="21">
        <v>42</v>
      </c>
      <c r="F38" s="21">
        <v>77</v>
      </c>
      <c r="G38" s="21">
        <f t="shared" si="0"/>
        <v>35</v>
      </c>
      <c r="H38" s="21">
        <f t="shared" si="1"/>
        <v>7</v>
      </c>
      <c r="I38" s="24" t="s">
        <v>76</v>
      </c>
      <c r="J38" s="24" t="s">
        <v>77</v>
      </c>
      <c r="K38" s="24" t="s">
        <v>58</v>
      </c>
    </row>
    <row r="39" spans="1:11" ht="15.5">
      <c r="A39" s="25" t="s">
        <v>61</v>
      </c>
      <c r="B39" s="26">
        <v>1038</v>
      </c>
      <c r="C39" s="24">
        <v>2499</v>
      </c>
      <c r="D39" s="24" t="s">
        <v>49</v>
      </c>
      <c r="E39" s="21">
        <v>6.2</v>
      </c>
      <c r="F39" s="21">
        <v>9.1999999999999993</v>
      </c>
      <c r="G39" s="21">
        <f t="shared" si="0"/>
        <v>2.9999999999999991</v>
      </c>
      <c r="H39" s="21">
        <f t="shared" si="1"/>
        <v>0.29999999999999993</v>
      </c>
      <c r="I39" s="24" t="s">
        <v>76</v>
      </c>
      <c r="J39" s="24" t="s">
        <v>77</v>
      </c>
      <c r="K39" s="24" t="s">
        <v>58</v>
      </c>
    </row>
    <row r="40" spans="1:11" ht="15.5">
      <c r="A40" s="25" t="s">
        <v>61</v>
      </c>
      <c r="B40" s="26">
        <v>1039</v>
      </c>
      <c r="C40" s="24">
        <v>2877</v>
      </c>
      <c r="D40" s="24" t="s">
        <v>47</v>
      </c>
      <c r="E40" s="21">
        <v>11.4</v>
      </c>
      <c r="F40" s="21">
        <v>16.3</v>
      </c>
      <c r="G40" s="21">
        <f t="shared" si="0"/>
        <v>4.9000000000000004</v>
      </c>
      <c r="H40" s="21">
        <f t="shared" si="1"/>
        <v>0.49000000000000005</v>
      </c>
      <c r="I40" s="24" t="s">
        <v>76</v>
      </c>
      <c r="J40" s="24" t="s">
        <v>77</v>
      </c>
      <c r="K40" s="24" t="s">
        <v>48</v>
      </c>
    </row>
    <row r="41" spans="1:11" ht="15.5">
      <c r="A41" s="25" t="s">
        <v>61</v>
      </c>
      <c r="B41" s="26">
        <v>1040</v>
      </c>
      <c r="C41" s="24">
        <v>1109</v>
      </c>
      <c r="D41" s="24" t="s">
        <v>52</v>
      </c>
      <c r="E41" s="21">
        <v>3</v>
      </c>
      <c r="F41" s="21">
        <v>8</v>
      </c>
      <c r="G41" s="21">
        <f t="shared" si="0"/>
        <v>5</v>
      </c>
      <c r="H41" s="21">
        <f t="shared" si="1"/>
        <v>0.5</v>
      </c>
      <c r="I41" s="24" t="s">
        <v>76</v>
      </c>
      <c r="J41" s="24" t="s">
        <v>77</v>
      </c>
      <c r="K41" s="24" t="s">
        <v>50</v>
      </c>
    </row>
    <row r="42" spans="1:11" ht="15.5">
      <c r="A42" s="25" t="s">
        <v>61</v>
      </c>
      <c r="B42" s="26">
        <v>1041</v>
      </c>
      <c r="C42" s="24">
        <v>2499</v>
      </c>
      <c r="D42" s="24" t="s">
        <v>49</v>
      </c>
      <c r="E42" s="21">
        <v>6.2</v>
      </c>
      <c r="F42" s="21">
        <v>9.1999999999999993</v>
      </c>
      <c r="G42" s="21">
        <f t="shared" si="0"/>
        <v>2.9999999999999991</v>
      </c>
      <c r="H42" s="21">
        <f t="shared" si="1"/>
        <v>0.29999999999999993</v>
      </c>
      <c r="I42" s="24" t="s">
        <v>74</v>
      </c>
      <c r="J42" s="24" t="s">
        <v>75</v>
      </c>
      <c r="K42" s="24" t="s">
        <v>46</v>
      </c>
    </row>
    <row r="43" spans="1:11" ht="15.5">
      <c r="A43" s="25" t="s">
        <v>61</v>
      </c>
      <c r="B43" s="26">
        <v>1042</v>
      </c>
      <c r="C43" s="24">
        <v>8722</v>
      </c>
      <c r="D43" s="24" t="s">
        <v>51</v>
      </c>
      <c r="E43" s="21">
        <v>344</v>
      </c>
      <c r="F43" s="21">
        <v>502</v>
      </c>
      <c r="G43" s="21">
        <f t="shared" si="0"/>
        <v>158</v>
      </c>
      <c r="H43" s="21">
        <f t="shared" si="1"/>
        <v>31.6</v>
      </c>
      <c r="I43" s="24" t="s">
        <v>78</v>
      </c>
      <c r="J43" s="24" t="s">
        <v>79</v>
      </c>
      <c r="K43" s="24" t="s">
        <v>46</v>
      </c>
    </row>
    <row r="44" spans="1:11" ht="15.5">
      <c r="A44" s="25" t="s">
        <v>61</v>
      </c>
      <c r="B44" s="26">
        <v>1043</v>
      </c>
      <c r="C44" s="24">
        <v>2242</v>
      </c>
      <c r="D44" s="24" t="s">
        <v>57</v>
      </c>
      <c r="E44" s="21">
        <v>60</v>
      </c>
      <c r="F44" s="21">
        <v>124</v>
      </c>
      <c r="G44" s="21">
        <f t="shared" si="0"/>
        <v>64</v>
      </c>
      <c r="H44" s="21">
        <f t="shared" si="1"/>
        <v>12.8</v>
      </c>
      <c r="I44" s="24" t="s">
        <v>78</v>
      </c>
      <c r="J44" s="24" t="s">
        <v>79</v>
      </c>
      <c r="K44" s="24" t="s">
        <v>48</v>
      </c>
    </row>
    <row r="45" spans="1:11" ht="15.5">
      <c r="A45" s="25" t="s">
        <v>61</v>
      </c>
      <c r="B45" s="26">
        <v>1044</v>
      </c>
      <c r="C45" s="24">
        <v>2877</v>
      </c>
      <c r="D45" s="24" t="s">
        <v>47</v>
      </c>
      <c r="E45" s="21">
        <v>11.4</v>
      </c>
      <c r="F45" s="21">
        <v>16.3</v>
      </c>
      <c r="G45" s="21">
        <f t="shared" si="0"/>
        <v>4.9000000000000004</v>
      </c>
      <c r="H45" s="21">
        <f t="shared" si="1"/>
        <v>0.49000000000000005</v>
      </c>
      <c r="I45" s="24" t="s">
        <v>78</v>
      </c>
      <c r="J45" s="24" t="s">
        <v>79</v>
      </c>
      <c r="K45" s="24" t="s">
        <v>48</v>
      </c>
    </row>
    <row r="46" spans="1:11" ht="15.5">
      <c r="A46" s="25" t="s">
        <v>61</v>
      </c>
      <c r="B46" s="26">
        <v>1045</v>
      </c>
      <c r="C46" s="24">
        <v>8722</v>
      </c>
      <c r="D46" s="24" t="s">
        <v>51</v>
      </c>
      <c r="E46" s="21">
        <v>344</v>
      </c>
      <c r="F46" s="21">
        <v>502</v>
      </c>
      <c r="G46" s="21">
        <f t="shared" si="0"/>
        <v>158</v>
      </c>
      <c r="H46" s="21">
        <f t="shared" si="1"/>
        <v>31.6</v>
      </c>
      <c r="I46" s="24" t="s">
        <v>80</v>
      </c>
      <c r="J46" s="24" t="s">
        <v>81</v>
      </c>
      <c r="K46" s="24" t="s">
        <v>50</v>
      </c>
    </row>
    <row r="47" spans="1:11" ht="15.5">
      <c r="A47" s="25" t="s">
        <v>61</v>
      </c>
      <c r="B47" s="26">
        <v>1046</v>
      </c>
      <c r="C47" s="24">
        <v>6119</v>
      </c>
      <c r="D47" s="24" t="s">
        <v>60</v>
      </c>
      <c r="E47" s="21">
        <v>9</v>
      </c>
      <c r="F47" s="21">
        <v>14</v>
      </c>
      <c r="G47" s="21">
        <f t="shared" si="0"/>
        <v>5</v>
      </c>
      <c r="H47" s="21">
        <f t="shared" si="1"/>
        <v>0.5</v>
      </c>
      <c r="I47" s="24" t="s">
        <v>76</v>
      </c>
      <c r="J47" s="24" t="s">
        <v>77</v>
      </c>
      <c r="K47" s="24" t="s">
        <v>59</v>
      </c>
    </row>
    <row r="48" spans="1:11" ht="15.5">
      <c r="A48" s="25" t="s">
        <v>61</v>
      </c>
      <c r="B48" s="26">
        <v>1047</v>
      </c>
      <c r="C48" s="24">
        <v>6622</v>
      </c>
      <c r="D48" s="24" t="s">
        <v>62</v>
      </c>
      <c r="E48" s="21">
        <v>42</v>
      </c>
      <c r="F48" s="21">
        <v>77</v>
      </c>
      <c r="G48" s="21">
        <f t="shared" si="0"/>
        <v>35</v>
      </c>
      <c r="H48" s="21">
        <f t="shared" si="1"/>
        <v>7</v>
      </c>
      <c r="I48" s="24" t="s">
        <v>80</v>
      </c>
      <c r="J48" s="24" t="s">
        <v>81</v>
      </c>
      <c r="K48" s="24" t="s">
        <v>50</v>
      </c>
    </row>
    <row r="49" spans="1:11" ht="15.5">
      <c r="A49" s="25" t="s">
        <v>61</v>
      </c>
      <c r="B49" s="26">
        <v>1048</v>
      </c>
      <c r="C49" s="24">
        <v>8722</v>
      </c>
      <c r="D49" s="24" t="s">
        <v>51</v>
      </c>
      <c r="E49" s="21">
        <v>344</v>
      </c>
      <c r="F49" s="21">
        <v>502</v>
      </c>
      <c r="G49" s="21">
        <f t="shared" si="0"/>
        <v>158</v>
      </c>
      <c r="H49" s="21">
        <f t="shared" si="1"/>
        <v>31.6</v>
      </c>
      <c r="I49" s="24" t="s">
        <v>74</v>
      </c>
      <c r="J49" s="24" t="s">
        <v>75</v>
      </c>
      <c r="K49" s="24" t="s">
        <v>50</v>
      </c>
    </row>
    <row r="50" spans="1:11" ht="15.5">
      <c r="A50" s="25" t="s">
        <v>63</v>
      </c>
      <c r="B50" s="26">
        <v>1049</v>
      </c>
      <c r="C50" s="24">
        <v>2499</v>
      </c>
      <c r="D50" s="24" t="s">
        <v>49</v>
      </c>
      <c r="E50" s="21">
        <v>6.2</v>
      </c>
      <c r="F50" s="21">
        <v>9.1999999999999993</v>
      </c>
      <c r="G50" s="21">
        <f t="shared" si="0"/>
        <v>2.9999999999999991</v>
      </c>
      <c r="H50" s="21">
        <f t="shared" si="1"/>
        <v>0.29999999999999993</v>
      </c>
      <c r="I50" s="24" t="s">
        <v>74</v>
      </c>
      <c r="J50" s="24" t="s">
        <v>75</v>
      </c>
      <c r="K50" s="24" t="s">
        <v>53</v>
      </c>
    </row>
    <row r="51" spans="1:11" ht="15.5">
      <c r="A51" s="25" t="s">
        <v>63</v>
      </c>
      <c r="B51" s="26">
        <v>1050</v>
      </c>
      <c r="C51" s="24">
        <v>2877</v>
      </c>
      <c r="D51" s="24" t="s">
        <v>47</v>
      </c>
      <c r="E51" s="21">
        <v>11.4</v>
      </c>
      <c r="F51" s="21">
        <v>16.3</v>
      </c>
      <c r="G51" s="21">
        <f t="shared" si="0"/>
        <v>4.9000000000000004</v>
      </c>
      <c r="H51" s="21">
        <f t="shared" si="1"/>
        <v>0.49000000000000005</v>
      </c>
      <c r="I51" s="24" t="s">
        <v>74</v>
      </c>
      <c r="J51" s="24" t="s">
        <v>75</v>
      </c>
      <c r="K51" s="24" t="s">
        <v>50</v>
      </c>
    </row>
    <row r="52" spans="1:11" ht="15.5">
      <c r="A52" s="25" t="s">
        <v>63</v>
      </c>
      <c r="B52" s="26">
        <v>1051</v>
      </c>
      <c r="C52" s="24">
        <v>6119</v>
      </c>
      <c r="D52" s="24" t="s">
        <v>60</v>
      </c>
      <c r="E52" s="21">
        <v>9</v>
      </c>
      <c r="F52" s="21">
        <v>14</v>
      </c>
      <c r="G52" s="21">
        <f t="shared" si="0"/>
        <v>5</v>
      </c>
      <c r="H52" s="21">
        <f t="shared" si="1"/>
        <v>0.5</v>
      </c>
      <c r="I52" s="24" t="s">
        <v>78</v>
      </c>
      <c r="J52" s="24" t="s">
        <v>79</v>
      </c>
      <c r="K52" s="24" t="s">
        <v>59</v>
      </c>
    </row>
    <row r="53" spans="1:11" ht="15.5">
      <c r="A53" s="25" t="s">
        <v>63</v>
      </c>
      <c r="B53" s="26">
        <v>1052</v>
      </c>
      <c r="C53" s="24">
        <v>6622</v>
      </c>
      <c r="D53" s="24" t="s">
        <v>62</v>
      </c>
      <c r="E53" s="21">
        <v>42</v>
      </c>
      <c r="F53" s="21">
        <v>77</v>
      </c>
      <c r="G53" s="21">
        <f t="shared" si="0"/>
        <v>35</v>
      </c>
      <c r="H53" s="21">
        <f t="shared" si="1"/>
        <v>7</v>
      </c>
      <c r="I53" s="24" t="s">
        <v>78</v>
      </c>
      <c r="J53" s="24" t="s">
        <v>79</v>
      </c>
      <c r="K53" s="24" t="s">
        <v>50</v>
      </c>
    </row>
    <row r="54" spans="1:11" ht="15.5">
      <c r="A54" s="25" t="s">
        <v>63</v>
      </c>
      <c r="B54" s="26">
        <v>1053</v>
      </c>
      <c r="C54" s="24">
        <v>2242</v>
      </c>
      <c r="D54" s="24" t="s">
        <v>57</v>
      </c>
      <c r="E54" s="21">
        <v>60</v>
      </c>
      <c r="F54" s="21">
        <v>124</v>
      </c>
      <c r="G54" s="21">
        <f t="shared" si="0"/>
        <v>64</v>
      </c>
      <c r="H54" s="21">
        <f t="shared" si="1"/>
        <v>12.8</v>
      </c>
      <c r="I54" s="24" t="s">
        <v>74</v>
      </c>
      <c r="J54" s="24" t="s">
        <v>75</v>
      </c>
      <c r="K54" s="24" t="s">
        <v>48</v>
      </c>
    </row>
    <row r="55" spans="1:11" ht="15.5">
      <c r="A55" s="25" t="s">
        <v>63</v>
      </c>
      <c r="B55" s="26">
        <v>1054</v>
      </c>
      <c r="C55" s="24">
        <v>4421</v>
      </c>
      <c r="D55" s="24" t="s">
        <v>54</v>
      </c>
      <c r="E55" s="21">
        <v>45</v>
      </c>
      <c r="F55" s="21">
        <v>87</v>
      </c>
      <c r="G55" s="21">
        <f t="shared" si="0"/>
        <v>42</v>
      </c>
      <c r="H55" s="21">
        <f t="shared" si="1"/>
        <v>8.4</v>
      </c>
      <c r="I55" s="24" t="s">
        <v>78</v>
      </c>
      <c r="J55" s="24" t="s">
        <v>79</v>
      </c>
      <c r="K55" s="24" t="s">
        <v>58</v>
      </c>
    </row>
    <row r="56" spans="1:11" ht="15.5">
      <c r="A56" s="25" t="s">
        <v>63</v>
      </c>
      <c r="B56" s="26">
        <v>1055</v>
      </c>
      <c r="C56" s="24">
        <v>6119</v>
      </c>
      <c r="D56" s="24" t="s">
        <v>60</v>
      </c>
      <c r="E56" s="21">
        <v>9</v>
      </c>
      <c r="F56" s="21">
        <v>14</v>
      </c>
      <c r="G56" s="21">
        <f t="shared" si="0"/>
        <v>5</v>
      </c>
      <c r="H56" s="21">
        <f t="shared" si="1"/>
        <v>0.5</v>
      </c>
      <c r="I56" s="24" t="s">
        <v>76</v>
      </c>
      <c r="J56" s="24" t="s">
        <v>77</v>
      </c>
      <c r="K56" s="24" t="s">
        <v>58</v>
      </c>
    </row>
    <row r="57" spans="1:11" ht="15.5">
      <c r="A57" s="25" t="s">
        <v>63</v>
      </c>
      <c r="B57" s="26">
        <v>1056</v>
      </c>
      <c r="C57" s="24">
        <v>1109</v>
      </c>
      <c r="D57" s="24" t="s">
        <v>52</v>
      </c>
      <c r="E57" s="21">
        <v>3</v>
      </c>
      <c r="F57" s="21">
        <v>8</v>
      </c>
      <c r="G57" s="21">
        <f t="shared" si="0"/>
        <v>5</v>
      </c>
      <c r="H57" s="21">
        <f t="shared" si="1"/>
        <v>0.5</v>
      </c>
      <c r="I57" s="24" t="s">
        <v>78</v>
      </c>
      <c r="J57" s="24" t="s">
        <v>79</v>
      </c>
      <c r="K57" s="24" t="s">
        <v>48</v>
      </c>
    </row>
    <row r="58" spans="1:11" ht="15.5">
      <c r="A58" s="25" t="s">
        <v>63</v>
      </c>
      <c r="B58" s="26">
        <v>1057</v>
      </c>
      <c r="C58" s="24">
        <v>2499</v>
      </c>
      <c r="D58" s="24" t="s">
        <v>49</v>
      </c>
      <c r="E58" s="21">
        <v>6.2</v>
      </c>
      <c r="F58" s="21">
        <v>9.1999999999999993</v>
      </c>
      <c r="G58" s="21">
        <f t="shared" si="0"/>
        <v>2.9999999999999991</v>
      </c>
      <c r="H58" s="21">
        <f t="shared" si="1"/>
        <v>0.29999999999999993</v>
      </c>
      <c r="I58" s="24" t="s">
        <v>76</v>
      </c>
      <c r="J58" s="24" t="s">
        <v>77</v>
      </c>
      <c r="K58" s="24" t="s">
        <v>48</v>
      </c>
    </row>
    <row r="59" spans="1:11" ht="15.5">
      <c r="A59" s="25" t="s">
        <v>63</v>
      </c>
      <c r="B59" s="26">
        <v>1058</v>
      </c>
      <c r="C59" s="24">
        <v>6119</v>
      </c>
      <c r="D59" s="24" t="s">
        <v>60</v>
      </c>
      <c r="E59" s="21">
        <v>9</v>
      </c>
      <c r="F59" s="21">
        <v>14</v>
      </c>
      <c r="G59" s="21">
        <f t="shared" si="0"/>
        <v>5</v>
      </c>
      <c r="H59" s="21">
        <f t="shared" si="1"/>
        <v>0.5</v>
      </c>
      <c r="I59" s="24" t="s">
        <v>80</v>
      </c>
      <c r="J59" s="24" t="s">
        <v>81</v>
      </c>
      <c r="K59" s="24" t="s">
        <v>50</v>
      </c>
    </row>
    <row r="60" spans="1:11" ht="15.5">
      <c r="A60" s="25" t="s">
        <v>63</v>
      </c>
      <c r="B60" s="26">
        <v>1059</v>
      </c>
      <c r="C60" s="24">
        <v>2242</v>
      </c>
      <c r="D60" s="24" t="s">
        <v>57</v>
      </c>
      <c r="E60" s="21">
        <v>60</v>
      </c>
      <c r="F60" s="21">
        <v>124</v>
      </c>
      <c r="G60" s="21">
        <f t="shared" si="0"/>
        <v>64</v>
      </c>
      <c r="H60" s="21">
        <f t="shared" si="1"/>
        <v>12.8</v>
      </c>
      <c r="I60" s="24" t="s">
        <v>78</v>
      </c>
      <c r="J60" s="24" t="s">
        <v>79</v>
      </c>
      <c r="K60" s="24" t="s">
        <v>50</v>
      </c>
    </row>
    <row r="61" spans="1:11" ht="15.5">
      <c r="A61" s="25" t="s">
        <v>63</v>
      </c>
      <c r="B61" s="26">
        <v>1060</v>
      </c>
      <c r="C61" s="24">
        <v>6119</v>
      </c>
      <c r="D61" s="24" t="s">
        <v>60</v>
      </c>
      <c r="E61" s="21">
        <v>9</v>
      </c>
      <c r="F61" s="21">
        <v>14</v>
      </c>
      <c r="G61" s="21">
        <f t="shared" si="0"/>
        <v>5</v>
      </c>
      <c r="H61" s="21">
        <f t="shared" si="1"/>
        <v>0.5</v>
      </c>
      <c r="I61" s="24" t="s">
        <v>78</v>
      </c>
      <c r="J61" s="24" t="s">
        <v>79</v>
      </c>
      <c r="K61" s="24" t="s">
        <v>58</v>
      </c>
    </row>
    <row r="62" spans="1:11" ht="15.5">
      <c r="A62" s="25" t="s">
        <v>64</v>
      </c>
      <c r="B62" s="26">
        <v>1061</v>
      </c>
      <c r="C62" s="24">
        <v>1109</v>
      </c>
      <c r="D62" s="24" t="s">
        <v>52</v>
      </c>
      <c r="E62" s="21">
        <v>3</v>
      </c>
      <c r="F62" s="21">
        <v>8</v>
      </c>
      <c r="G62" s="21">
        <f t="shared" si="0"/>
        <v>5</v>
      </c>
      <c r="H62" s="21">
        <f t="shared" si="1"/>
        <v>0.5</v>
      </c>
      <c r="I62" s="24" t="s">
        <v>78</v>
      </c>
      <c r="J62" s="24" t="s">
        <v>79</v>
      </c>
      <c r="K62" s="24" t="s">
        <v>58</v>
      </c>
    </row>
    <row r="63" spans="1:11" ht="15.5">
      <c r="A63" s="25" t="s">
        <v>64</v>
      </c>
      <c r="B63" s="26">
        <v>1062</v>
      </c>
      <c r="C63" s="24">
        <v>2499</v>
      </c>
      <c r="D63" s="24" t="s">
        <v>49</v>
      </c>
      <c r="E63" s="21">
        <v>6.2</v>
      </c>
      <c r="F63" s="21">
        <v>9.1999999999999993</v>
      </c>
      <c r="G63" s="21">
        <f t="shared" si="0"/>
        <v>2.9999999999999991</v>
      </c>
      <c r="H63" s="21">
        <f t="shared" si="1"/>
        <v>0.29999999999999993</v>
      </c>
      <c r="I63" s="24" t="s">
        <v>74</v>
      </c>
      <c r="J63" s="24" t="s">
        <v>75</v>
      </c>
      <c r="K63" s="24" t="s">
        <v>50</v>
      </c>
    </row>
    <row r="64" spans="1:11" ht="15.5">
      <c r="A64" s="25" t="s">
        <v>64</v>
      </c>
      <c r="B64" s="26">
        <v>1063</v>
      </c>
      <c r="C64" s="24">
        <v>1109</v>
      </c>
      <c r="D64" s="24" t="s">
        <v>52</v>
      </c>
      <c r="E64" s="21">
        <v>3</v>
      </c>
      <c r="F64" s="21">
        <v>8</v>
      </c>
      <c r="G64" s="21">
        <f t="shared" si="0"/>
        <v>5</v>
      </c>
      <c r="H64" s="21">
        <f t="shared" si="1"/>
        <v>0.5</v>
      </c>
      <c r="I64" s="24" t="s">
        <v>78</v>
      </c>
      <c r="J64" s="24" t="s">
        <v>79</v>
      </c>
      <c r="K64" s="24" t="s">
        <v>48</v>
      </c>
    </row>
    <row r="65" spans="1:11" ht="15.5">
      <c r="A65" s="25" t="s">
        <v>64</v>
      </c>
      <c r="B65" s="26">
        <v>1064</v>
      </c>
      <c r="C65" s="24">
        <v>2499</v>
      </c>
      <c r="D65" s="24" t="s">
        <v>49</v>
      </c>
      <c r="E65" s="21">
        <v>6.2</v>
      </c>
      <c r="F65" s="21">
        <v>9.1999999999999993</v>
      </c>
      <c r="G65" s="21">
        <f t="shared" si="0"/>
        <v>2.9999999999999991</v>
      </c>
      <c r="H65" s="21">
        <f t="shared" si="1"/>
        <v>0.29999999999999993</v>
      </c>
      <c r="I65" s="24" t="s">
        <v>80</v>
      </c>
      <c r="J65" s="24" t="s">
        <v>81</v>
      </c>
      <c r="K65" s="24" t="s">
        <v>50</v>
      </c>
    </row>
    <row r="66" spans="1:11" ht="15.5">
      <c r="A66" s="25" t="s">
        <v>64</v>
      </c>
      <c r="B66" s="26">
        <v>1065</v>
      </c>
      <c r="C66" s="24">
        <v>2499</v>
      </c>
      <c r="D66" s="24" t="s">
        <v>49</v>
      </c>
      <c r="E66" s="21">
        <v>6.2</v>
      </c>
      <c r="F66" s="21">
        <v>9.1999999999999993</v>
      </c>
      <c r="G66" s="21">
        <f t="shared" si="0"/>
        <v>2.9999999999999991</v>
      </c>
      <c r="H66" s="21">
        <f t="shared" si="1"/>
        <v>0.29999999999999993</v>
      </c>
      <c r="I66" s="24" t="s">
        <v>78</v>
      </c>
      <c r="J66" s="24" t="s">
        <v>79</v>
      </c>
      <c r="K66" s="24" t="s">
        <v>46</v>
      </c>
    </row>
    <row r="67" spans="1:11" ht="15.5">
      <c r="A67" s="25" t="s">
        <v>64</v>
      </c>
      <c r="B67" s="26">
        <v>1066</v>
      </c>
      <c r="C67" s="24">
        <v>2877</v>
      </c>
      <c r="D67" s="24" t="s">
        <v>47</v>
      </c>
      <c r="E67" s="21">
        <v>11.4</v>
      </c>
      <c r="F67" s="21">
        <v>16.3</v>
      </c>
      <c r="G67" s="21">
        <f t="shared" ref="G67:G130" si="2">F67-E67</f>
        <v>4.9000000000000004</v>
      </c>
      <c r="H67" s="21">
        <f t="shared" ref="H67:H130" si="3">IF(F67&gt;50,G67*0.2,G67*0.1)</f>
        <v>0.49000000000000005</v>
      </c>
      <c r="I67" s="24" t="s">
        <v>78</v>
      </c>
      <c r="J67" s="24" t="s">
        <v>79</v>
      </c>
      <c r="K67" s="24" t="s">
        <v>58</v>
      </c>
    </row>
    <row r="68" spans="1:11" ht="15.5">
      <c r="A68" s="25" t="s">
        <v>64</v>
      </c>
      <c r="B68" s="26">
        <v>1067</v>
      </c>
      <c r="C68" s="24">
        <v>2877</v>
      </c>
      <c r="D68" s="24" t="s">
        <v>47</v>
      </c>
      <c r="E68" s="21">
        <v>11.4</v>
      </c>
      <c r="F68" s="21">
        <v>16.3</v>
      </c>
      <c r="G68" s="21">
        <f t="shared" si="2"/>
        <v>4.9000000000000004</v>
      </c>
      <c r="H68" s="21">
        <f t="shared" si="3"/>
        <v>0.49000000000000005</v>
      </c>
      <c r="I68" s="24" t="s">
        <v>78</v>
      </c>
      <c r="J68" s="24" t="s">
        <v>79</v>
      </c>
      <c r="K68" s="24" t="s">
        <v>59</v>
      </c>
    </row>
    <row r="69" spans="1:11" ht="15.5">
      <c r="A69" s="25" t="s">
        <v>64</v>
      </c>
      <c r="B69" s="26">
        <v>1068</v>
      </c>
      <c r="C69" s="24">
        <v>6119</v>
      </c>
      <c r="D69" s="24" t="s">
        <v>60</v>
      </c>
      <c r="E69" s="21">
        <v>9</v>
      </c>
      <c r="F69" s="21">
        <v>14</v>
      </c>
      <c r="G69" s="21">
        <f t="shared" si="2"/>
        <v>5</v>
      </c>
      <c r="H69" s="21">
        <f t="shared" si="3"/>
        <v>0.5</v>
      </c>
      <c r="I69" s="24" t="s">
        <v>76</v>
      </c>
      <c r="J69" s="24" t="s">
        <v>77</v>
      </c>
      <c r="K69" s="24" t="s">
        <v>48</v>
      </c>
    </row>
    <row r="70" spans="1:11" ht="15.5">
      <c r="A70" s="25" t="s">
        <v>64</v>
      </c>
      <c r="B70" s="26">
        <v>1069</v>
      </c>
      <c r="C70" s="24">
        <v>1109</v>
      </c>
      <c r="D70" s="24" t="s">
        <v>52</v>
      </c>
      <c r="E70" s="21">
        <v>3</v>
      </c>
      <c r="F70" s="21">
        <v>8</v>
      </c>
      <c r="G70" s="21">
        <f t="shared" si="2"/>
        <v>5</v>
      </c>
      <c r="H70" s="21">
        <f t="shared" si="3"/>
        <v>0.5</v>
      </c>
      <c r="I70" s="24" t="s">
        <v>78</v>
      </c>
      <c r="J70" s="24" t="s">
        <v>79</v>
      </c>
      <c r="K70" s="24" t="s">
        <v>50</v>
      </c>
    </row>
    <row r="71" spans="1:11" ht="15.5">
      <c r="A71" s="25" t="s">
        <v>64</v>
      </c>
      <c r="B71" s="26">
        <v>1070</v>
      </c>
      <c r="C71" s="24">
        <v>2499</v>
      </c>
      <c r="D71" s="24" t="s">
        <v>49</v>
      </c>
      <c r="E71" s="21">
        <v>6.2</v>
      </c>
      <c r="F71" s="21">
        <v>9.1999999999999993</v>
      </c>
      <c r="G71" s="21">
        <f t="shared" si="2"/>
        <v>2.9999999999999991</v>
      </c>
      <c r="H71" s="21">
        <f t="shared" si="3"/>
        <v>0.29999999999999993</v>
      </c>
      <c r="I71" s="24" t="s">
        <v>80</v>
      </c>
      <c r="J71" s="24" t="s">
        <v>81</v>
      </c>
      <c r="K71" s="24" t="s">
        <v>50</v>
      </c>
    </row>
    <row r="72" spans="1:11" ht="15.5">
      <c r="A72" s="25" t="s">
        <v>64</v>
      </c>
      <c r="B72" s="26">
        <v>1071</v>
      </c>
      <c r="C72" s="24">
        <v>1109</v>
      </c>
      <c r="D72" s="24" t="s">
        <v>52</v>
      </c>
      <c r="E72" s="21">
        <v>3</v>
      </c>
      <c r="F72" s="21">
        <v>8</v>
      </c>
      <c r="G72" s="21">
        <f t="shared" si="2"/>
        <v>5</v>
      </c>
      <c r="H72" s="21">
        <f t="shared" si="3"/>
        <v>0.5</v>
      </c>
      <c r="I72" s="24" t="s">
        <v>74</v>
      </c>
      <c r="J72" s="24" t="s">
        <v>75</v>
      </c>
      <c r="K72" s="24" t="s">
        <v>50</v>
      </c>
    </row>
    <row r="73" spans="1:11" ht="15.5">
      <c r="A73" s="25" t="s">
        <v>64</v>
      </c>
      <c r="B73" s="26">
        <v>1072</v>
      </c>
      <c r="C73" s="24">
        <v>1109</v>
      </c>
      <c r="D73" s="24" t="s">
        <v>52</v>
      </c>
      <c r="E73" s="21">
        <v>3</v>
      </c>
      <c r="F73" s="21">
        <v>8</v>
      </c>
      <c r="G73" s="21">
        <f t="shared" si="2"/>
        <v>5</v>
      </c>
      <c r="H73" s="21">
        <f t="shared" si="3"/>
        <v>0.5</v>
      </c>
      <c r="I73" s="24" t="s">
        <v>78</v>
      </c>
      <c r="J73" s="24" t="s">
        <v>79</v>
      </c>
      <c r="K73" s="24" t="s">
        <v>58</v>
      </c>
    </row>
    <row r="74" spans="1:11" ht="15.5">
      <c r="A74" s="25" t="s">
        <v>64</v>
      </c>
      <c r="B74" s="26">
        <v>1073</v>
      </c>
      <c r="C74" s="24">
        <v>6622</v>
      </c>
      <c r="D74" s="24" t="s">
        <v>62</v>
      </c>
      <c r="E74" s="21">
        <v>42</v>
      </c>
      <c r="F74" s="21">
        <v>77</v>
      </c>
      <c r="G74" s="21">
        <f t="shared" si="2"/>
        <v>35</v>
      </c>
      <c r="H74" s="21">
        <f t="shared" si="3"/>
        <v>7</v>
      </c>
      <c r="I74" s="24" t="s">
        <v>78</v>
      </c>
      <c r="J74" s="24" t="s">
        <v>79</v>
      </c>
      <c r="K74" s="24" t="s">
        <v>48</v>
      </c>
    </row>
    <row r="75" spans="1:11" ht="15.5">
      <c r="A75" s="25" t="s">
        <v>64</v>
      </c>
      <c r="B75" s="26">
        <v>1074</v>
      </c>
      <c r="C75" s="24">
        <v>2877</v>
      </c>
      <c r="D75" s="24" t="s">
        <v>47</v>
      </c>
      <c r="E75" s="21">
        <v>11.4</v>
      </c>
      <c r="F75" s="21">
        <v>16.3</v>
      </c>
      <c r="G75" s="21">
        <f t="shared" si="2"/>
        <v>4.9000000000000004</v>
      </c>
      <c r="H75" s="21">
        <f t="shared" si="3"/>
        <v>0.49000000000000005</v>
      </c>
      <c r="I75" s="24" t="s">
        <v>78</v>
      </c>
      <c r="J75" s="24" t="s">
        <v>79</v>
      </c>
      <c r="K75" s="24" t="s">
        <v>50</v>
      </c>
    </row>
    <row r="76" spans="1:11" ht="15.5">
      <c r="A76" s="25" t="s">
        <v>64</v>
      </c>
      <c r="B76" s="26">
        <v>1075</v>
      </c>
      <c r="C76" s="24">
        <v>1109</v>
      </c>
      <c r="D76" s="24" t="s">
        <v>52</v>
      </c>
      <c r="E76" s="21">
        <v>3</v>
      </c>
      <c r="F76" s="21">
        <v>8</v>
      </c>
      <c r="G76" s="21">
        <f t="shared" si="2"/>
        <v>5</v>
      </c>
      <c r="H76" s="21">
        <f t="shared" si="3"/>
        <v>0.5</v>
      </c>
      <c r="I76" s="24" t="s">
        <v>80</v>
      </c>
      <c r="J76" s="24" t="s">
        <v>81</v>
      </c>
      <c r="K76" s="24" t="s">
        <v>48</v>
      </c>
    </row>
    <row r="77" spans="1:11" ht="15.5">
      <c r="A77" s="25" t="s">
        <v>64</v>
      </c>
      <c r="B77" s="26">
        <v>1076</v>
      </c>
      <c r="C77" s="24">
        <v>1109</v>
      </c>
      <c r="D77" s="24" t="s">
        <v>52</v>
      </c>
      <c r="E77" s="21">
        <v>3</v>
      </c>
      <c r="F77" s="21">
        <v>8</v>
      </c>
      <c r="G77" s="21">
        <f t="shared" si="2"/>
        <v>5</v>
      </c>
      <c r="H77" s="21">
        <f t="shared" si="3"/>
        <v>0.5</v>
      </c>
      <c r="I77" s="24" t="s">
        <v>76</v>
      </c>
      <c r="J77" s="24" t="s">
        <v>77</v>
      </c>
      <c r="K77" s="24" t="s">
        <v>50</v>
      </c>
    </row>
    <row r="78" spans="1:11" ht="15.5">
      <c r="A78" s="25" t="s">
        <v>64</v>
      </c>
      <c r="B78" s="26">
        <v>1077</v>
      </c>
      <c r="C78" s="24">
        <v>9822</v>
      </c>
      <c r="D78" s="24" t="s">
        <v>45</v>
      </c>
      <c r="E78" s="21">
        <v>58.3</v>
      </c>
      <c r="F78" s="21">
        <v>98.4</v>
      </c>
      <c r="G78" s="21">
        <f t="shared" si="2"/>
        <v>40.100000000000009</v>
      </c>
      <c r="H78" s="21">
        <f t="shared" si="3"/>
        <v>8.0200000000000014</v>
      </c>
      <c r="I78" s="24" t="s">
        <v>80</v>
      </c>
      <c r="J78" s="24" t="s">
        <v>81</v>
      </c>
      <c r="K78" s="24" t="s">
        <v>50</v>
      </c>
    </row>
    <row r="79" spans="1:11" ht="15.5">
      <c r="A79" s="25" t="s">
        <v>64</v>
      </c>
      <c r="B79" s="26">
        <v>1078</v>
      </c>
      <c r="C79" s="24">
        <v>2877</v>
      </c>
      <c r="D79" s="24" t="s">
        <v>47</v>
      </c>
      <c r="E79" s="21">
        <v>11.4</v>
      </c>
      <c r="F79" s="21">
        <v>16.3</v>
      </c>
      <c r="G79" s="21">
        <f t="shared" si="2"/>
        <v>4.9000000000000004</v>
      </c>
      <c r="H79" s="21">
        <f t="shared" si="3"/>
        <v>0.49000000000000005</v>
      </c>
      <c r="I79" s="24" t="s">
        <v>76</v>
      </c>
      <c r="J79" s="24" t="s">
        <v>77</v>
      </c>
      <c r="K79" s="24" t="s">
        <v>58</v>
      </c>
    </row>
    <row r="80" spans="1:11" ht="15.5">
      <c r="A80" s="25" t="s">
        <v>65</v>
      </c>
      <c r="B80" s="26">
        <v>1079</v>
      </c>
      <c r="C80" s="24">
        <v>2877</v>
      </c>
      <c r="D80" s="24" t="s">
        <v>47</v>
      </c>
      <c r="E80" s="21">
        <v>11.4</v>
      </c>
      <c r="F80" s="21">
        <v>16.3</v>
      </c>
      <c r="G80" s="21">
        <f t="shared" si="2"/>
        <v>4.9000000000000004</v>
      </c>
      <c r="H80" s="21">
        <f t="shared" si="3"/>
        <v>0.49000000000000005</v>
      </c>
      <c r="I80" s="24" t="s">
        <v>76</v>
      </c>
      <c r="J80" s="24" t="s">
        <v>77</v>
      </c>
      <c r="K80" s="24" t="s">
        <v>46</v>
      </c>
    </row>
    <row r="81" spans="1:11" ht="15.5">
      <c r="A81" s="25" t="s">
        <v>65</v>
      </c>
      <c r="B81" s="26">
        <v>1080</v>
      </c>
      <c r="C81" s="24">
        <v>4421</v>
      </c>
      <c r="D81" s="24" t="s">
        <v>54</v>
      </c>
      <c r="E81" s="21">
        <v>45</v>
      </c>
      <c r="F81" s="21">
        <v>87</v>
      </c>
      <c r="G81" s="21">
        <f t="shared" si="2"/>
        <v>42</v>
      </c>
      <c r="H81" s="21">
        <f t="shared" si="3"/>
        <v>8.4</v>
      </c>
      <c r="I81" s="24" t="s">
        <v>78</v>
      </c>
      <c r="J81" s="24" t="s">
        <v>79</v>
      </c>
      <c r="K81" s="24" t="s">
        <v>48</v>
      </c>
    </row>
    <row r="82" spans="1:11" ht="15.5">
      <c r="A82" s="25" t="s">
        <v>65</v>
      </c>
      <c r="B82" s="26">
        <v>1081</v>
      </c>
      <c r="C82" s="24">
        <v>6119</v>
      </c>
      <c r="D82" s="24" t="s">
        <v>60</v>
      </c>
      <c r="E82" s="21">
        <v>9</v>
      </c>
      <c r="F82" s="21">
        <v>14</v>
      </c>
      <c r="G82" s="21">
        <f t="shared" si="2"/>
        <v>5</v>
      </c>
      <c r="H82" s="21">
        <f t="shared" si="3"/>
        <v>0.5</v>
      </c>
      <c r="I82" s="24" t="s">
        <v>78</v>
      </c>
      <c r="J82" s="24" t="s">
        <v>79</v>
      </c>
      <c r="K82" s="24" t="s">
        <v>59</v>
      </c>
    </row>
    <row r="83" spans="1:11" ht="15.5">
      <c r="A83" s="25" t="s">
        <v>65</v>
      </c>
      <c r="B83" s="26">
        <v>1082</v>
      </c>
      <c r="C83" s="24">
        <v>1109</v>
      </c>
      <c r="D83" s="24" t="s">
        <v>52</v>
      </c>
      <c r="E83" s="21">
        <v>3</v>
      </c>
      <c r="F83" s="21">
        <v>8</v>
      </c>
      <c r="G83" s="21">
        <f t="shared" si="2"/>
        <v>5</v>
      </c>
      <c r="H83" s="21">
        <f t="shared" si="3"/>
        <v>0.5</v>
      </c>
      <c r="I83" s="24" t="s">
        <v>74</v>
      </c>
      <c r="J83" s="24" t="s">
        <v>75</v>
      </c>
      <c r="K83" s="24" t="s">
        <v>48</v>
      </c>
    </row>
    <row r="84" spans="1:11" ht="15.5">
      <c r="A84" s="25" t="s">
        <v>65</v>
      </c>
      <c r="B84" s="26">
        <v>1083</v>
      </c>
      <c r="C84" s="24">
        <v>1109</v>
      </c>
      <c r="D84" s="24" t="s">
        <v>52</v>
      </c>
      <c r="E84" s="21">
        <v>3</v>
      </c>
      <c r="F84" s="21">
        <v>8</v>
      </c>
      <c r="G84" s="21">
        <f t="shared" si="2"/>
        <v>5</v>
      </c>
      <c r="H84" s="21">
        <f t="shared" si="3"/>
        <v>0.5</v>
      </c>
      <c r="I84" s="24" t="s">
        <v>74</v>
      </c>
      <c r="J84" s="24" t="s">
        <v>75</v>
      </c>
      <c r="K84" s="24" t="s">
        <v>58</v>
      </c>
    </row>
    <row r="85" spans="1:11" ht="15.5">
      <c r="A85" s="25" t="s">
        <v>65</v>
      </c>
      <c r="B85" s="26">
        <v>1084</v>
      </c>
      <c r="C85" s="24">
        <v>6119</v>
      </c>
      <c r="D85" s="24" t="s">
        <v>60</v>
      </c>
      <c r="E85" s="21">
        <v>9</v>
      </c>
      <c r="F85" s="21">
        <v>14</v>
      </c>
      <c r="G85" s="21">
        <f t="shared" si="2"/>
        <v>5</v>
      </c>
      <c r="H85" s="21">
        <f t="shared" si="3"/>
        <v>0.5</v>
      </c>
      <c r="I85" s="24" t="s">
        <v>74</v>
      </c>
      <c r="J85" s="24" t="s">
        <v>75</v>
      </c>
      <c r="K85" s="24" t="s">
        <v>50</v>
      </c>
    </row>
    <row r="86" spans="1:11" ht="15.5">
      <c r="A86" s="25" t="s">
        <v>65</v>
      </c>
      <c r="B86" s="26">
        <v>1085</v>
      </c>
      <c r="C86" s="24">
        <v>9822</v>
      </c>
      <c r="D86" s="24" t="s">
        <v>45</v>
      </c>
      <c r="E86" s="21">
        <v>58.3</v>
      </c>
      <c r="F86" s="21">
        <v>98.4</v>
      </c>
      <c r="G86" s="21">
        <f t="shared" si="2"/>
        <v>40.100000000000009</v>
      </c>
      <c r="H86" s="21">
        <f t="shared" si="3"/>
        <v>8.0200000000000014</v>
      </c>
      <c r="I86" s="24" t="s">
        <v>78</v>
      </c>
      <c r="J86" s="24" t="s">
        <v>79</v>
      </c>
      <c r="K86" s="24" t="s">
        <v>58</v>
      </c>
    </row>
    <row r="87" spans="1:11" ht="15.5">
      <c r="A87" s="25" t="s">
        <v>65</v>
      </c>
      <c r="B87" s="26">
        <v>1086</v>
      </c>
      <c r="C87" s="24">
        <v>1109</v>
      </c>
      <c r="D87" s="24" t="s">
        <v>52</v>
      </c>
      <c r="E87" s="21">
        <v>3</v>
      </c>
      <c r="F87" s="21">
        <v>8</v>
      </c>
      <c r="G87" s="21">
        <f t="shared" si="2"/>
        <v>5</v>
      </c>
      <c r="H87" s="21">
        <f t="shared" si="3"/>
        <v>0.5</v>
      </c>
      <c r="I87" s="24" t="s">
        <v>80</v>
      </c>
      <c r="J87" s="24" t="s">
        <v>81</v>
      </c>
      <c r="K87" s="24" t="s">
        <v>50</v>
      </c>
    </row>
    <row r="88" spans="1:11" ht="15.5">
      <c r="A88" s="25" t="s">
        <v>65</v>
      </c>
      <c r="B88" s="26">
        <v>1087</v>
      </c>
      <c r="C88" s="24">
        <v>2499</v>
      </c>
      <c r="D88" s="24" t="s">
        <v>49</v>
      </c>
      <c r="E88" s="21">
        <v>6.2</v>
      </c>
      <c r="F88" s="21">
        <v>9.1999999999999993</v>
      </c>
      <c r="G88" s="21">
        <f t="shared" si="2"/>
        <v>2.9999999999999991</v>
      </c>
      <c r="H88" s="21">
        <f t="shared" si="3"/>
        <v>0.29999999999999993</v>
      </c>
      <c r="I88" s="24" t="s">
        <v>74</v>
      </c>
      <c r="J88" s="24" t="s">
        <v>75</v>
      </c>
      <c r="K88" s="24" t="s">
        <v>48</v>
      </c>
    </row>
    <row r="89" spans="1:11" ht="15.5">
      <c r="A89" s="25" t="s">
        <v>65</v>
      </c>
      <c r="B89" s="26">
        <v>1088</v>
      </c>
      <c r="C89" s="24">
        <v>2499</v>
      </c>
      <c r="D89" s="24" t="s">
        <v>49</v>
      </c>
      <c r="E89" s="21">
        <v>6.2</v>
      </c>
      <c r="F89" s="21">
        <v>9.1999999999999993</v>
      </c>
      <c r="G89" s="21">
        <f t="shared" si="2"/>
        <v>2.9999999999999991</v>
      </c>
      <c r="H89" s="21">
        <f t="shared" si="3"/>
        <v>0.29999999999999993</v>
      </c>
      <c r="I89" s="24" t="s">
        <v>74</v>
      </c>
      <c r="J89" s="24" t="s">
        <v>75</v>
      </c>
      <c r="K89" s="24" t="s">
        <v>46</v>
      </c>
    </row>
    <row r="90" spans="1:11" ht="15.5">
      <c r="A90" s="25" t="s">
        <v>65</v>
      </c>
      <c r="B90" s="26">
        <v>1089</v>
      </c>
      <c r="C90" s="24">
        <v>6119</v>
      </c>
      <c r="D90" s="24" t="s">
        <v>60</v>
      </c>
      <c r="E90" s="21">
        <v>9</v>
      </c>
      <c r="F90" s="21">
        <v>14</v>
      </c>
      <c r="G90" s="21">
        <f t="shared" si="2"/>
        <v>5</v>
      </c>
      <c r="H90" s="21">
        <f t="shared" si="3"/>
        <v>0.5</v>
      </c>
      <c r="I90" s="24" t="s">
        <v>78</v>
      </c>
      <c r="J90" s="24" t="s">
        <v>79</v>
      </c>
      <c r="K90" s="24" t="s">
        <v>58</v>
      </c>
    </row>
    <row r="91" spans="1:11" ht="15.5">
      <c r="A91" s="25" t="s">
        <v>65</v>
      </c>
      <c r="B91" s="26">
        <v>1090</v>
      </c>
      <c r="C91" s="24">
        <v>2877</v>
      </c>
      <c r="D91" s="24" t="s">
        <v>47</v>
      </c>
      <c r="E91" s="21">
        <v>11.4</v>
      </c>
      <c r="F91" s="21">
        <v>16.3</v>
      </c>
      <c r="G91" s="21">
        <f t="shared" si="2"/>
        <v>4.9000000000000004</v>
      </c>
      <c r="H91" s="21">
        <f t="shared" si="3"/>
        <v>0.49000000000000005</v>
      </c>
      <c r="I91" s="24" t="s">
        <v>74</v>
      </c>
      <c r="J91" s="24" t="s">
        <v>75</v>
      </c>
      <c r="K91" s="24" t="s">
        <v>48</v>
      </c>
    </row>
    <row r="92" spans="1:11" ht="15.5">
      <c r="A92" s="25" t="s">
        <v>65</v>
      </c>
      <c r="B92" s="26">
        <v>1091</v>
      </c>
      <c r="C92" s="24">
        <v>2877</v>
      </c>
      <c r="D92" s="24" t="s">
        <v>47</v>
      </c>
      <c r="E92" s="21">
        <v>11.4</v>
      </c>
      <c r="F92" s="21">
        <v>16.3</v>
      </c>
      <c r="G92" s="21">
        <f t="shared" si="2"/>
        <v>4.9000000000000004</v>
      </c>
      <c r="H92" s="21">
        <f t="shared" si="3"/>
        <v>0.49000000000000005</v>
      </c>
      <c r="I92" s="24" t="s">
        <v>80</v>
      </c>
      <c r="J92" s="24" t="s">
        <v>81</v>
      </c>
      <c r="K92" s="24" t="s">
        <v>58</v>
      </c>
    </row>
    <row r="93" spans="1:11" ht="15.5">
      <c r="A93" s="25" t="s">
        <v>65</v>
      </c>
      <c r="B93" s="26">
        <v>1092</v>
      </c>
      <c r="C93" s="24">
        <v>2877</v>
      </c>
      <c r="D93" s="24" t="s">
        <v>47</v>
      </c>
      <c r="E93" s="21">
        <v>11.4</v>
      </c>
      <c r="F93" s="21">
        <v>16.3</v>
      </c>
      <c r="G93" s="21">
        <f t="shared" si="2"/>
        <v>4.9000000000000004</v>
      </c>
      <c r="H93" s="21">
        <f t="shared" si="3"/>
        <v>0.49000000000000005</v>
      </c>
      <c r="I93" s="24" t="s">
        <v>78</v>
      </c>
      <c r="J93" s="24" t="s">
        <v>79</v>
      </c>
      <c r="K93" s="24" t="s">
        <v>48</v>
      </c>
    </row>
    <row r="94" spans="1:11" ht="15.5">
      <c r="A94" s="25" t="s">
        <v>65</v>
      </c>
      <c r="B94" s="26">
        <v>1093</v>
      </c>
      <c r="C94" s="24">
        <v>6119</v>
      </c>
      <c r="D94" s="24" t="s">
        <v>60</v>
      </c>
      <c r="E94" s="21">
        <v>9</v>
      </c>
      <c r="F94" s="21">
        <v>14</v>
      </c>
      <c r="G94" s="21">
        <f t="shared" si="2"/>
        <v>5</v>
      </c>
      <c r="H94" s="21">
        <f t="shared" si="3"/>
        <v>0.5</v>
      </c>
      <c r="I94" s="24" t="s">
        <v>76</v>
      </c>
      <c r="J94" s="24" t="s">
        <v>77</v>
      </c>
      <c r="K94" s="24" t="s">
        <v>50</v>
      </c>
    </row>
    <row r="95" spans="1:11" ht="15.5">
      <c r="A95" s="25" t="s">
        <v>65</v>
      </c>
      <c r="B95" s="26">
        <v>1094</v>
      </c>
      <c r="C95" s="24">
        <v>6119</v>
      </c>
      <c r="D95" s="24" t="s">
        <v>60</v>
      </c>
      <c r="E95" s="21">
        <v>9</v>
      </c>
      <c r="F95" s="21">
        <v>14</v>
      </c>
      <c r="G95" s="21">
        <f t="shared" si="2"/>
        <v>5</v>
      </c>
      <c r="H95" s="21">
        <f t="shared" si="3"/>
        <v>0.5</v>
      </c>
      <c r="I95" s="24" t="s">
        <v>78</v>
      </c>
      <c r="J95" s="24" t="s">
        <v>79</v>
      </c>
      <c r="K95" s="24" t="s">
        <v>48</v>
      </c>
    </row>
    <row r="96" spans="1:11" ht="15.5">
      <c r="A96" s="25" t="s">
        <v>65</v>
      </c>
      <c r="B96" s="26">
        <v>1095</v>
      </c>
      <c r="C96" s="24">
        <v>2499</v>
      </c>
      <c r="D96" s="24" t="s">
        <v>49</v>
      </c>
      <c r="E96" s="21">
        <v>6.2</v>
      </c>
      <c r="F96" s="21">
        <v>9.1999999999999993</v>
      </c>
      <c r="G96" s="21">
        <f t="shared" si="2"/>
        <v>2.9999999999999991</v>
      </c>
      <c r="H96" s="21">
        <f t="shared" si="3"/>
        <v>0.29999999999999993</v>
      </c>
      <c r="I96" s="24" t="s">
        <v>80</v>
      </c>
      <c r="J96" s="24" t="s">
        <v>81</v>
      </c>
      <c r="K96" s="24" t="s">
        <v>50</v>
      </c>
    </row>
    <row r="97" spans="1:11" ht="15.5">
      <c r="A97" s="25" t="s">
        <v>65</v>
      </c>
      <c r="B97" s="26">
        <v>1096</v>
      </c>
      <c r="C97" s="24">
        <v>6119</v>
      </c>
      <c r="D97" s="24" t="s">
        <v>60</v>
      </c>
      <c r="E97" s="21">
        <v>9</v>
      </c>
      <c r="F97" s="21">
        <v>14</v>
      </c>
      <c r="G97" s="21">
        <f t="shared" si="2"/>
        <v>5</v>
      </c>
      <c r="H97" s="21">
        <f t="shared" si="3"/>
        <v>0.5</v>
      </c>
      <c r="I97" s="24" t="s">
        <v>78</v>
      </c>
      <c r="J97" s="24" t="s">
        <v>79</v>
      </c>
      <c r="K97" s="24" t="s">
        <v>50</v>
      </c>
    </row>
    <row r="98" spans="1:11" ht="15.5">
      <c r="A98" s="25" t="s">
        <v>65</v>
      </c>
      <c r="B98" s="26">
        <v>1097</v>
      </c>
      <c r="C98" s="24">
        <v>9212</v>
      </c>
      <c r="D98" s="24" t="s">
        <v>55</v>
      </c>
      <c r="E98" s="21">
        <v>4</v>
      </c>
      <c r="F98" s="21">
        <v>7</v>
      </c>
      <c r="G98" s="21">
        <f t="shared" si="2"/>
        <v>3</v>
      </c>
      <c r="H98" s="21">
        <f t="shared" si="3"/>
        <v>0.30000000000000004</v>
      </c>
      <c r="I98" s="24" t="s">
        <v>80</v>
      </c>
      <c r="J98" s="24" t="s">
        <v>81</v>
      </c>
      <c r="K98" s="24" t="s">
        <v>58</v>
      </c>
    </row>
    <row r="99" spans="1:11" ht="15.5">
      <c r="A99" s="25" t="s">
        <v>65</v>
      </c>
      <c r="B99" s="26">
        <v>1098</v>
      </c>
      <c r="C99" s="24">
        <v>2877</v>
      </c>
      <c r="D99" s="24" t="s">
        <v>47</v>
      </c>
      <c r="E99" s="21">
        <v>11.4</v>
      </c>
      <c r="F99" s="21">
        <v>16.3</v>
      </c>
      <c r="G99" s="21">
        <f t="shared" si="2"/>
        <v>4.9000000000000004</v>
      </c>
      <c r="H99" s="21">
        <f t="shared" si="3"/>
        <v>0.49000000000000005</v>
      </c>
      <c r="I99" s="24" t="s">
        <v>76</v>
      </c>
      <c r="J99" s="24" t="s">
        <v>77</v>
      </c>
      <c r="K99" s="24" t="s">
        <v>46</v>
      </c>
    </row>
    <row r="100" spans="1:11" ht="15.5">
      <c r="A100" s="25" t="s">
        <v>66</v>
      </c>
      <c r="B100" s="26">
        <v>1099</v>
      </c>
      <c r="C100" s="24">
        <v>2877</v>
      </c>
      <c r="D100" s="24" t="s">
        <v>47</v>
      </c>
      <c r="E100" s="21">
        <v>11.4</v>
      </c>
      <c r="F100" s="21">
        <v>16.3</v>
      </c>
      <c r="G100" s="21">
        <f t="shared" si="2"/>
        <v>4.9000000000000004</v>
      </c>
      <c r="H100" s="21">
        <f t="shared" si="3"/>
        <v>0.49000000000000005</v>
      </c>
      <c r="I100" s="24" t="s">
        <v>78</v>
      </c>
      <c r="J100" s="24" t="s">
        <v>79</v>
      </c>
      <c r="K100" s="24" t="s">
        <v>48</v>
      </c>
    </row>
    <row r="101" spans="1:11" ht="15.5">
      <c r="A101" s="25" t="s">
        <v>66</v>
      </c>
      <c r="B101" s="26">
        <v>1100</v>
      </c>
      <c r="C101" s="24">
        <v>6119</v>
      </c>
      <c r="D101" s="24" t="s">
        <v>60</v>
      </c>
      <c r="E101" s="21">
        <v>9</v>
      </c>
      <c r="F101" s="21">
        <v>14</v>
      </c>
      <c r="G101" s="21">
        <f t="shared" si="2"/>
        <v>5</v>
      </c>
      <c r="H101" s="21">
        <f t="shared" si="3"/>
        <v>0.5</v>
      </c>
      <c r="I101" s="24" t="s">
        <v>74</v>
      </c>
      <c r="J101" s="24" t="s">
        <v>75</v>
      </c>
      <c r="K101" s="24" t="s">
        <v>59</v>
      </c>
    </row>
    <row r="102" spans="1:11" ht="15.5">
      <c r="A102" s="25" t="s">
        <v>66</v>
      </c>
      <c r="B102" s="26">
        <v>1101</v>
      </c>
      <c r="C102" s="24">
        <v>2499</v>
      </c>
      <c r="D102" s="24" t="s">
        <v>49</v>
      </c>
      <c r="E102" s="21">
        <v>6.2</v>
      </c>
      <c r="F102" s="21">
        <v>9.1999999999999993</v>
      </c>
      <c r="G102" s="21">
        <f t="shared" si="2"/>
        <v>2.9999999999999991</v>
      </c>
      <c r="H102" s="21">
        <f t="shared" si="3"/>
        <v>0.29999999999999993</v>
      </c>
      <c r="I102" s="24" t="s">
        <v>78</v>
      </c>
      <c r="J102" s="24" t="s">
        <v>79</v>
      </c>
      <c r="K102" s="24" t="s">
        <v>48</v>
      </c>
    </row>
    <row r="103" spans="1:11" ht="15.5">
      <c r="A103" s="25" t="s">
        <v>66</v>
      </c>
      <c r="B103" s="26">
        <v>1102</v>
      </c>
      <c r="C103" s="24">
        <v>2242</v>
      </c>
      <c r="D103" s="24" t="s">
        <v>57</v>
      </c>
      <c r="E103" s="21">
        <v>60</v>
      </c>
      <c r="F103" s="21">
        <v>124</v>
      </c>
      <c r="G103" s="21">
        <f t="shared" si="2"/>
        <v>64</v>
      </c>
      <c r="H103" s="21">
        <f t="shared" si="3"/>
        <v>12.8</v>
      </c>
      <c r="I103" s="24" t="s">
        <v>76</v>
      </c>
      <c r="J103" s="24" t="s">
        <v>77</v>
      </c>
      <c r="K103" s="24" t="s">
        <v>58</v>
      </c>
    </row>
    <row r="104" spans="1:11" ht="15.5">
      <c r="A104" s="25" t="s">
        <v>66</v>
      </c>
      <c r="B104" s="26">
        <v>1103</v>
      </c>
      <c r="C104" s="24">
        <v>2877</v>
      </c>
      <c r="D104" s="24" t="s">
        <v>47</v>
      </c>
      <c r="E104" s="21">
        <v>11.4</v>
      </c>
      <c r="F104" s="21">
        <v>16.3</v>
      </c>
      <c r="G104" s="21">
        <f t="shared" si="2"/>
        <v>4.9000000000000004</v>
      </c>
      <c r="H104" s="21">
        <f t="shared" si="3"/>
        <v>0.49000000000000005</v>
      </c>
      <c r="I104" s="24" t="s">
        <v>76</v>
      </c>
      <c r="J104" s="24" t="s">
        <v>77</v>
      </c>
      <c r="K104" s="24" t="s">
        <v>50</v>
      </c>
    </row>
    <row r="105" spans="1:11" ht="15.5">
      <c r="A105" s="25" t="s">
        <v>66</v>
      </c>
      <c r="B105" s="26">
        <v>1104</v>
      </c>
      <c r="C105" s="24">
        <v>2877</v>
      </c>
      <c r="D105" s="24" t="s">
        <v>47</v>
      </c>
      <c r="E105" s="21">
        <v>11.4</v>
      </c>
      <c r="F105" s="21">
        <v>16.3</v>
      </c>
      <c r="G105" s="21">
        <f t="shared" si="2"/>
        <v>4.9000000000000004</v>
      </c>
      <c r="H105" s="21">
        <f t="shared" si="3"/>
        <v>0.49000000000000005</v>
      </c>
      <c r="I105" s="24" t="s">
        <v>78</v>
      </c>
      <c r="J105" s="24" t="s">
        <v>79</v>
      </c>
      <c r="K105" s="24" t="s">
        <v>58</v>
      </c>
    </row>
    <row r="106" spans="1:11" ht="15.5">
      <c r="A106" s="25" t="s">
        <v>66</v>
      </c>
      <c r="B106" s="26">
        <v>1105</v>
      </c>
      <c r="C106" s="24">
        <v>2499</v>
      </c>
      <c r="D106" s="24" t="s">
        <v>49</v>
      </c>
      <c r="E106" s="21">
        <v>6.2</v>
      </c>
      <c r="F106" s="21">
        <v>9.1999999999999993</v>
      </c>
      <c r="G106" s="21">
        <f t="shared" si="2"/>
        <v>2.9999999999999991</v>
      </c>
      <c r="H106" s="21">
        <f t="shared" si="3"/>
        <v>0.29999999999999993</v>
      </c>
      <c r="I106" s="24" t="s">
        <v>76</v>
      </c>
      <c r="J106" s="24" t="s">
        <v>77</v>
      </c>
      <c r="K106" s="24" t="s">
        <v>50</v>
      </c>
    </row>
    <row r="107" spans="1:11" ht="15.5">
      <c r="A107" s="25" t="s">
        <v>66</v>
      </c>
      <c r="B107" s="26">
        <v>1106</v>
      </c>
      <c r="C107" s="24">
        <v>9822</v>
      </c>
      <c r="D107" s="24" t="s">
        <v>45</v>
      </c>
      <c r="E107" s="21">
        <v>58.3</v>
      </c>
      <c r="F107" s="21">
        <v>98.4</v>
      </c>
      <c r="G107" s="21">
        <f t="shared" si="2"/>
        <v>40.100000000000009</v>
      </c>
      <c r="H107" s="21">
        <f t="shared" si="3"/>
        <v>8.0200000000000014</v>
      </c>
      <c r="I107" s="24" t="s">
        <v>76</v>
      </c>
      <c r="J107" s="24" t="s">
        <v>77</v>
      </c>
      <c r="K107" s="24" t="s">
        <v>48</v>
      </c>
    </row>
    <row r="108" spans="1:11" ht="15.5">
      <c r="A108" s="25" t="s">
        <v>66</v>
      </c>
      <c r="B108" s="26">
        <v>1107</v>
      </c>
      <c r="C108" s="24">
        <v>1109</v>
      </c>
      <c r="D108" s="24" t="s">
        <v>52</v>
      </c>
      <c r="E108" s="21">
        <v>3</v>
      </c>
      <c r="F108" s="21">
        <v>8</v>
      </c>
      <c r="G108" s="21">
        <f t="shared" si="2"/>
        <v>5</v>
      </c>
      <c r="H108" s="21">
        <f t="shared" si="3"/>
        <v>0.5</v>
      </c>
      <c r="I108" s="24" t="s">
        <v>80</v>
      </c>
      <c r="J108" s="24" t="s">
        <v>81</v>
      </c>
      <c r="K108" s="24" t="s">
        <v>46</v>
      </c>
    </row>
    <row r="109" spans="1:11" ht="15.5">
      <c r="A109" s="25" t="s">
        <v>66</v>
      </c>
      <c r="B109" s="26">
        <v>1108</v>
      </c>
      <c r="C109" s="24">
        <v>9822</v>
      </c>
      <c r="D109" s="24" t="s">
        <v>45</v>
      </c>
      <c r="E109" s="21">
        <v>58.3</v>
      </c>
      <c r="F109" s="21">
        <v>98.4</v>
      </c>
      <c r="G109" s="21">
        <f t="shared" si="2"/>
        <v>40.100000000000009</v>
      </c>
      <c r="H109" s="21">
        <f t="shared" si="3"/>
        <v>8.0200000000000014</v>
      </c>
      <c r="I109" s="24" t="s">
        <v>78</v>
      </c>
      <c r="J109" s="24" t="s">
        <v>79</v>
      </c>
      <c r="K109" s="24" t="s">
        <v>58</v>
      </c>
    </row>
    <row r="110" spans="1:11" ht="15.5">
      <c r="A110" s="25" t="s">
        <v>66</v>
      </c>
      <c r="B110" s="26">
        <v>1109</v>
      </c>
      <c r="C110" s="24">
        <v>8722</v>
      </c>
      <c r="D110" s="24" t="s">
        <v>51</v>
      </c>
      <c r="E110" s="21">
        <v>344</v>
      </c>
      <c r="F110" s="21">
        <v>502</v>
      </c>
      <c r="G110" s="21">
        <f t="shared" si="2"/>
        <v>158</v>
      </c>
      <c r="H110" s="21">
        <f t="shared" si="3"/>
        <v>31.6</v>
      </c>
      <c r="I110" s="24" t="s">
        <v>76</v>
      </c>
      <c r="J110" s="24" t="s">
        <v>77</v>
      </c>
      <c r="K110" s="24" t="s">
        <v>48</v>
      </c>
    </row>
    <row r="111" spans="1:11" ht="15.5">
      <c r="A111" s="25" t="s">
        <v>66</v>
      </c>
      <c r="B111" s="26">
        <v>1110</v>
      </c>
      <c r="C111" s="24">
        <v>8722</v>
      </c>
      <c r="D111" s="24" t="s">
        <v>51</v>
      </c>
      <c r="E111" s="21">
        <v>344</v>
      </c>
      <c r="F111" s="21">
        <v>502</v>
      </c>
      <c r="G111" s="21">
        <f t="shared" si="2"/>
        <v>158</v>
      </c>
      <c r="H111" s="21">
        <f t="shared" si="3"/>
        <v>31.6</v>
      </c>
      <c r="I111" s="24" t="s">
        <v>80</v>
      </c>
      <c r="J111" s="24" t="s">
        <v>81</v>
      </c>
      <c r="K111" s="24" t="s">
        <v>58</v>
      </c>
    </row>
    <row r="112" spans="1:11" ht="15.5">
      <c r="A112" s="25" t="s">
        <v>66</v>
      </c>
      <c r="B112" s="26">
        <v>1111</v>
      </c>
      <c r="C112" s="24">
        <v>6622</v>
      </c>
      <c r="D112" s="24" t="s">
        <v>62</v>
      </c>
      <c r="E112" s="21">
        <v>42</v>
      </c>
      <c r="F112" s="21">
        <v>77</v>
      </c>
      <c r="G112" s="21">
        <f t="shared" si="2"/>
        <v>35</v>
      </c>
      <c r="H112" s="21">
        <f t="shared" si="3"/>
        <v>7</v>
      </c>
      <c r="I112" s="24" t="s">
        <v>80</v>
      </c>
      <c r="J112" s="24" t="s">
        <v>81</v>
      </c>
      <c r="K112" s="24" t="s">
        <v>48</v>
      </c>
    </row>
    <row r="113" spans="1:11" ht="15.5">
      <c r="A113" s="25" t="s">
        <v>66</v>
      </c>
      <c r="B113" s="26">
        <v>1112</v>
      </c>
      <c r="C113" s="24">
        <v>6622</v>
      </c>
      <c r="D113" s="24" t="s">
        <v>62</v>
      </c>
      <c r="E113" s="21">
        <v>42</v>
      </c>
      <c r="F113" s="21">
        <v>77</v>
      </c>
      <c r="G113" s="21">
        <f t="shared" si="2"/>
        <v>35</v>
      </c>
      <c r="H113" s="21">
        <f t="shared" si="3"/>
        <v>7</v>
      </c>
      <c r="I113" s="24" t="s">
        <v>78</v>
      </c>
      <c r="J113" s="24" t="s">
        <v>79</v>
      </c>
      <c r="K113" s="24" t="s">
        <v>50</v>
      </c>
    </row>
    <row r="114" spans="1:11" ht="15.5">
      <c r="A114" s="25" t="s">
        <v>66</v>
      </c>
      <c r="B114" s="26">
        <v>1113</v>
      </c>
      <c r="C114" s="24">
        <v>9822</v>
      </c>
      <c r="D114" s="24" t="s">
        <v>45</v>
      </c>
      <c r="E114" s="21">
        <v>58.3</v>
      </c>
      <c r="F114" s="21">
        <v>98.4</v>
      </c>
      <c r="G114" s="21">
        <f t="shared" si="2"/>
        <v>40.100000000000009</v>
      </c>
      <c r="H114" s="21">
        <f t="shared" si="3"/>
        <v>8.0200000000000014</v>
      </c>
      <c r="I114" s="24" t="s">
        <v>74</v>
      </c>
      <c r="J114" s="24" t="s">
        <v>75</v>
      </c>
      <c r="K114" s="24" t="s">
        <v>48</v>
      </c>
    </row>
    <row r="115" spans="1:11" ht="15.5">
      <c r="A115" s="25" t="s">
        <v>66</v>
      </c>
      <c r="B115" s="26">
        <v>1114</v>
      </c>
      <c r="C115" s="24">
        <v>2242</v>
      </c>
      <c r="D115" s="24" t="s">
        <v>57</v>
      </c>
      <c r="E115" s="21">
        <v>60</v>
      </c>
      <c r="F115" s="21">
        <v>124</v>
      </c>
      <c r="G115" s="21">
        <f t="shared" si="2"/>
        <v>64</v>
      </c>
      <c r="H115" s="21">
        <f t="shared" si="3"/>
        <v>12.8</v>
      </c>
      <c r="I115" s="24" t="s">
        <v>76</v>
      </c>
      <c r="J115" s="24" t="s">
        <v>77</v>
      </c>
      <c r="K115" s="24" t="s">
        <v>50</v>
      </c>
    </row>
    <row r="116" spans="1:11" ht="15.5">
      <c r="A116" s="25" t="s">
        <v>66</v>
      </c>
      <c r="B116" s="26">
        <v>1115</v>
      </c>
      <c r="C116" s="24">
        <v>8722</v>
      </c>
      <c r="D116" s="24" t="s">
        <v>51</v>
      </c>
      <c r="E116" s="21">
        <v>344</v>
      </c>
      <c r="F116" s="21">
        <v>502</v>
      </c>
      <c r="G116" s="21">
        <f t="shared" si="2"/>
        <v>158</v>
      </c>
      <c r="H116" s="21">
        <f t="shared" si="3"/>
        <v>31.6</v>
      </c>
      <c r="I116" s="24" t="s">
        <v>74</v>
      </c>
      <c r="J116" s="24" t="s">
        <v>75</v>
      </c>
      <c r="K116" s="24" t="s">
        <v>50</v>
      </c>
    </row>
    <row r="117" spans="1:11" ht="15.5">
      <c r="A117" s="25" t="s">
        <v>66</v>
      </c>
      <c r="B117" s="26">
        <v>1116</v>
      </c>
      <c r="C117" s="24">
        <v>6622</v>
      </c>
      <c r="D117" s="24" t="s">
        <v>62</v>
      </c>
      <c r="E117" s="21">
        <v>42</v>
      </c>
      <c r="F117" s="21">
        <v>77</v>
      </c>
      <c r="G117" s="21">
        <f t="shared" si="2"/>
        <v>35</v>
      </c>
      <c r="H117" s="21">
        <f t="shared" si="3"/>
        <v>7</v>
      </c>
      <c r="I117" s="24" t="s">
        <v>78</v>
      </c>
      <c r="J117" s="24" t="s">
        <v>79</v>
      </c>
      <c r="K117" s="24" t="s">
        <v>58</v>
      </c>
    </row>
    <row r="118" spans="1:11" ht="15.5">
      <c r="A118" s="25" t="s">
        <v>66</v>
      </c>
      <c r="B118" s="26">
        <v>1117</v>
      </c>
      <c r="C118" s="24">
        <v>8722</v>
      </c>
      <c r="D118" s="24" t="s">
        <v>51</v>
      </c>
      <c r="E118" s="21">
        <v>344</v>
      </c>
      <c r="F118" s="21">
        <v>502</v>
      </c>
      <c r="G118" s="21">
        <f t="shared" si="2"/>
        <v>158</v>
      </c>
      <c r="H118" s="21">
        <f t="shared" si="3"/>
        <v>31.6</v>
      </c>
      <c r="I118" s="24" t="s">
        <v>80</v>
      </c>
      <c r="J118" s="24" t="s">
        <v>81</v>
      </c>
      <c r="K118" s="24" t="s">
        <v>46</v>
      </c>
    </row>
    <row r="119" spans="1:11" ht="15.5">
      <c r="A119" s="25" t="s">
        <v>66</v>
      </c>
      <c r="B119" s="26">
        <v>1118</v>
      </c>
      <c r="C119" s="24">
        <v>9822</v>
      </c>
      <c r="D119" s="24" t="s">
        <v>45</v>
      </c>
      <c r="E119" s="21">
        <v>58.3</v>
      </c>
      <c r="F119" s="21">
        <v>98.4</v>
      </c>
      <c r="G119" s="21">
        <f t="shared" si="2"/>
        <v>40.100000000000009</v>
      </c>
      <c r="H119" s="21">
        <f t="shared" si="3"/>
        <v>8.0200000000000014</v>
      </c>
      <c r="I119" s="24" t="s">
        <v>76</v>
      </c>
      <c r="J119" s="24" t="s">
        <v>77</v>
      </c>
      <c r="K119" s="24" t="s">
        <v>48</v>
      </c>
    </row>
    <row r="120" spans="1:11" ht="15.5">
      <c r="A120" s="25" t="s">
        <v>66</v>
      </c>
      <c r="B120" s="26">
        <v>1119</v>
      </c>
      <c r="C120" s="24">
        <v>2242</v>
      </c>
      <c r="D120" s="24" t="s">
        <v>57</v>
      </c>
      <c r="E120" s="21">
        <v>60</v>
      </c>
      <c r="F120" s="21">
        <v>124</v>
      </c>
      <c r="G120" s="21">
        <f t="shared" si="2"/>
        <v>64</v>
      </c>
      <c r="H120" s="21">
        <f t="shared" si="3"/>
        <v>12.8</v>
      </c>
      <c r="I120" s="24" t="s">
        <v>74</v>
      </c>
      <c r="J120" s="24" t="s">
        <v>75</v>
      </c>
      <c r="K120" s="24" t="s">
        <v>59</v>
      </c>
    </row>
    <row r="121" spans="1:11" ht="15.5">
      <c r="A121" s="25" t="s">
        <v>66</v>
      </c>
      <c r="B121" s="26">
        <v>1120</v>
      </c>
      <c r="C121" s="24">
        <v>2242</v>
      </c>
      <c r="D121" s="24" t="s">
        <v>57</v>
      </c>
      <c r="E121" s="21">
        <v>60</v>
      </c>
      <c r="F121" s="21">
        <v>124</v>
      </c>
      <c r="G121" s="21">
        <f t="shared" si="2"/>
        <v>64</v>
      </c>
      <c r="H121" s="21">
        <f t="shared" si="3"/>
        <v>12.8</v>
      </c>
      <c r="I121" s="24" t="s">
        <v>78</v>
      </c>
      <c r="J121" s="24" t="s">
        <v>79</v>
      </c>
      <c r="K121" s="24" t="s">
        <v>48</v>
      </c>
    </row>
    <row r="122" spans="1:11" ht="15.5">
      <c r="A122" s="25" t="s">
        <v>66</v>
      </c>
      <c r="B122" s="26">
        <v>1121</v>
      </c>
      <c r="C122" s="24">
        <v>4421</v>
      </c>
      <c r="D122" s="24" t="s">
        <v>54</v>
      </c>
      <c r="E122" s="21">
        <v>45</v>
      </c>
      <c r="F122" s="21">
        <v>87</v>
      </c>
      <c r="G122" s="21">
        <f t="shared" si="2"/>
        <v>42</v>
      </c>
      <c r="H122" s="21">
        <f t="shared" si="3"/>
        <v>8.4</v>
      </c>
      <c r="I122" s="24" t="s">
        <v>78</v>
      </c>
      <c r="J122" s="24" t="s">
        <v>79</v>
      </c>
      <c r="K122" s="24" t="s">
        <v>58</v>
      </c>
    </row>
    <row r="123" spans="1:11" ht="15.5">
      <c r="A123" s="25" t="s">
        <v>66</v>
      </c>
      <c r="B123" s="26">
        <v>1122</v>
      </c>
      <c r="C123" s="24">
        <v>8722</v>
      </c>
      <c r="D123" s="24" t="s">
        <v>51</v>
      </c>
      <c r="E123" s="21">
        <v>344</v>
      </c>
      <c r="F123" s="21">
        <v>502</v>
      </c>
      <c r="G123" s="21">
        <f t="shared" si="2"/>
        <v>158</v>
      </c>
      <c r="H123" s="21">
        <f t="shared" si="3"/>
        <v>31.6</v>
      </c>
      <c r="I123" s="24" t="s">
        <v>78</v>
      </c>
      <c r="J123" s="24" t="s">
        <v>79</v>
      </c>
      <c r="K123" s="24" t="s">
        <v>50</v>
      </c>
    </row>
    <row r="124" spans="1:11" ht="15.5">
      <c r="A124" s="25" t="s">
        <v>66</v>
      </c>
      <c r="B124" s="26">
        <v>1123</v>
      </c>
      <c r="C124" s="24">
        <v>9822</v>
      </c>
      <c r="D124" s="24" t="s">
        <v>45</v>
      </c>
      <c r="E124" s="21">
        <v>58.3</v>
      </c>
      <c r="F124" s="21">
        <v>98.4</v>
      </c>
      <c r="G124" s="21">
        <f t="shared" si="2"/>
        <v>40.100000000000009</v>
      </c>
      <c r="H124" s="21">
        <f t="shared" si="3"/>
        <v>8.0200000000000014</v>
      </c>
      <c r="I124" s="24" t="s">
        <v>78</v>
      </c>
      <c r="J124" s="24" t="s">
        <v>79</v>
      </c>
      <c r="K124" s="24" t="s">
        <v>58</v>
      </c>
    </row>
    <row r="125" spans="1:11" ht="15.5">
      <c r="A125" s="25" t="s">
        <v>66</v>
      </c>
      <c r="B125" s="26">
        <v>1124</v>
      </c>
      <c r="C125" s="24">
        <v>4421</v>
      </c>
      <c r="D125" s="24" t="s">
        <v>54</v>
      </c>
      <c r="E125" s="21">
        <v>45</v>
      </c>
      <c r="F125" s="21">
        <v>87</v>
      </c>
      <c r="G125" s="21">
        <f t="shared" si="2"/>
        <v>42</v>
      </c>
      <c r="H125" s="21">
        <f t="shared" si="3"/>
        <v>8.4</v>
      </c>
      <c r="I125" s="24" t="s">
        <v>78</v>
      </c>
      <c r="J125" s="24" t="s">
        <v>79</v>
      </c>
      <c r="K125" s="24" t="s">
        <v>50</v>
      </c>
    </row>
    <row r="126" spans="1:11" ht="15.5">
      <c r="A126" s="25" t="s">
        <v>67</v>
      </c>
      <c r="B126" s="26">
        <v>1125</v>
      </c>
      <c r="C126" s="24">
        <v>2242</v>
      </c>
      <c r="D126" s="24" t="s">
        <v>57</v>
      </c>
      <c r="E126" s="21">
        <v>60</v>
      </c>
      <c r="F126" s="21">
        <v>124</v>
      </c>
      <c r="G126" s="21">
        <f t="shared" si="2"/>
        <v>64</v>
      </c>
      <c r="H126" s="21">
        <f t="shared" si="3"/>
        <v>12.8</v>
      </c>
      <c r="I126" s="24" t="s">
        <v>78</v>
      </c>
      <c r="J126" s="24" t="s">
        <v>79</v>
      </c>
      <c r="K126" s="24" t="s">
        <v>48</v>
      </c>
    </row>
    <row r="127" spans="1:11" ht="15.5">
      <c r="A127" s="25" t="s">
        <v>67</v>
      </c>
      <c r="B127" s="26">
        <v>1126</v>
      </c>
      <c r="C127" s="24">
        <v>9212</v>
      </c>
      <c r="D127" s="24" t="s">
        <v>55</v>
      </c>
      <c r="E127" s="21">
        <v>4</v>
      </c>
      <c r="F127" s="21">
        <v>7</v>
      </c>
      <c r="G127" s="21">
        <f t="shared" si="2"/>
        <v>3</v>
      </c>
      <c r="H127" s="21">
        <f t="shared" si="3"/>
        <v>0.30000000000000004</v>
      </c>
      <c r="I127" s="24" t="s">
        <v>78</v>
      </c>
      <c r="J127" s="24" t="s">
        <v>79</v>
      </c>
      <c r="K127" s="24" t="s">
        <v>46</v>
      </c>
    </row>
    <row r="128" spans="1:11" ht="15.5">
      <c r="A128" s="25" t="s">
        <v>67</v>
      </c>
      <c r="B128" s="26">
        <v>1127</v>
      </c>
      <c r="C128" s="24">
        <v>8722</v>
      </c>
      <c r="D128" s="24" t="s">
        <v>51</v>
      </c>
      <c r="E128" s="21">
        <v>344</v>
      </c>
      <c r="F128" s="21">
        <v>502</v>
      </c>
      <c r="G128" s="21">
        <f t="shared" si="2"/>
        <v>158</v>
      </c>
      <c r="H128" s="21">
        <f t="shared" si="3"/>
        <v>31.6</v>
      </c>
      <c r="I128" s="24" t="s">
        <v>74</v>
      </c>
      <c r="J128" s="24" t="s">
        <v>75</v>
      </c>
      <c r="K128" s="24" t="s">
        <v>58</v>
      </c>
    </row>
    <row r="129" spans="1:11" ht="15.5">
      <c r="A129" s="25" t="s">
        <v>67</v>
      </c>
      <c r="B129" s="26">
        <v>1128</v>
      </c>
      <c r="C129" s="24">
        <v>6622</v>
      </c>
      <c r="D129" s="24" t="s">
        <v>62</v>
      </c>
      <c r="E129" s="21">
        <v>42</v>
      </c>
      <c r="F129" s="21">
        <v>77</v>
      </c>
      <c r="G129" s="21">
        <f t="shared" si="2"/>
        <v>35</v>
      </c>
      <c r="H129" s="21">
        <f t="shared" si="3"/>
        <v>7</v>
      </c>
      <c r="I129" s="24" t="s">
        <v>76</v>
      </c>
      <c r="J129" s="24" t="s">
        <v>77</v>
      </c>
      <c r="K129" s="24" t="s">
        <v>48</v>
      </c>
    </row>
    <row r="130" spans="1:11" ht="15.5">
      <c r="A130" s="25" t="s">
        <v>67</v>
      </c>
      <c r="B130" s="26">
        <v>1129</v>
      </c>
      <c r="C130" s="24">
        <v>9822</v>
      </c>
      <c r="D130" s="24" t="s">
        <v>45</v>
      </c>
      <c r="E130" s="21">
        <v>58.3</v>
      </c>
      <c r="F130" s="21">
        <v>98.4</v>
      </c>
      <c r="G130" s="21">
        <f t="shared" si="2"/>
        <v>40.100000000000009</v>
      </c>
      <c r="H130" s="21">
        <f t="shared" si="3"/>
        <v>8.0200000000000014</v>
      </c>
      <c r="I130" s="24" t="s">
        <v>80</v>
      </c>
      <c r="J130" s="24" t="s">
        <v>81</v>
      </c>
      <c r="K130" s="24" t="s">
        <v>58</v>
      </c>
    </row>
    <row r="131" spans="1:11" ht="15.5">
      <c r="A131" s="25" t="s">
        <v>67</v>
      </c>
      <c r="B131" s="26">
        <v>1130</v>
      </c>
      <c r="C131" s="24">
        <v>4421</v>
      </c>
      <c r="D131" s="24" t="s">
        <v>54</v>
      </c>
      <c r="E131" s="21">
        <v>45</v>
      </c>
      <c r="F131" s="21">
        <v>87</v>
      </c>
      <c r="G131" s="21">
        <f t="shared" ref="G131:G172" si="4">F131-E131</f>
        <v>42</v>
      </c>
      <c r="H131" s="21">
        <f t="shared" ref="H131:H172" si="5">IF(F131&gt;50,G131*0.2,G131*0.1)</f>
        <v>8.4</v>
      </c>
      <c r="I131" s="24" t="s">
        <v>80</v>
      </c>
      <c r="J131" s="24" t="s">
        <v>81</v>
      </c>
      <c r="K131" s="24" t="s">
        <v>48</v>
      </c>
    </row>
    <row r="132" spans="1:11" ht="15.5">
      <c r="A132" s="25" t="s">
        <v>67</v>
      </c>
      <c r="B132" s="26">
        <v>1131</v>
      </c>
      <c r="C132" s="24">
        <v>9212</v>
      </c>
      <c r="D132" s="24" t="s">
        <v>55</v>
      </c>
      <c r="E132" s="21">
        <v>4</v>
      </c>
      <c r="F132" s="21">
        <v>7</v>
      </c>
      <c r="G132" s="21">
        <f t="shared" si="4"/>
        <v>3</v>
      </c>
      <c r="H132" s="21">
        <f t="shared" si="5"/>
        <v>0.30000000000000004</v>
      </c>
      <c r="I132" s="24" t="s">
        <v>80</v>
      </c>
      <c r="J132" s="24" t="s">
        <v>81</v>
      </c>
      <c r="K132" s="24" t="s">
        <v>50</v>
      </c>
    </row>
    <row r="133" spans="1:11" ht="15.5">
      <c r="A133" s="25" t="s">
        <v>67</v>
      </c>
      <c r="B133" s="26">
        <v>1132</v>
      </c>
      <c r="C133" s="24">
        <v>9212</v>
      </c>
      <c r="D133" s="24" t="s">
        <v>55</v>
      </c>
      <c r="E133" s="21">
        <v>4</v>
      </c>
      <c r="F133" s="21">
        <v>7</v>
      </c>
      <c r="G133" s="21">
        <f t="shared" si="4"/>
        <v>3</v>
      </c>
      <c r="H133" s="21">
        <f t="shared" si="5"/>
        <v>0.30000000000000004</v>
      </c>
      <c r="I133" s="24" t="s">
        <v>80</v>
      </c>
      <c r="J133" s="24" t="s">
        <v>81</v>
      </c>
      <c r="K133" s="24" t="s">
        <v>48</v>
      </c>
    </row>
    <row r="134" spans="1:11" ht="15.5">
      <c r="A134" s="25" t="s">
        <v>67</v>
      </c>
      <c r="B134" s="26">
        <v>1133</v>
      </c>
      <c r="C134" s="24">
        <v>9822</v>
      </c>
      <c r="D134" s="24" t="s">
        <v>45</v>
      </c>
      <c r="E134" s="21">
        <v>58.3</v>
      </c>
      <c r="F134" s="21">
        <v>98.4</v>
      </c>
      <c r="G134" s="21">
        <f t="shared" si="4"/>
        <v>40.100000000000009</v>
      </c>
      <c r="H134" s="21">
        <f t="shared" si="5"/>
        <v>8.0200000000000014</v>
      </c>
      <c r="I134" s="24" t="s">
        <v>74</v>
      </c>
      <c r="J134" s="24" t="s">
        <v>75</v>
      </c>
      <c r="K134" s="24" t="s">
        <v>50</v>
      </c>
    </row>
    <row r="135" spans="1:11" ht="15.5">
      <c r="A135" s="25" t="s">
        <v>67</v>
      </c>
      <c r="B135" s="26">
        <v>1134</v>
      </c>
      <c r="C135" s="24">
        <v>9822</v>
      </c>
      <c r="D135" s="24" t="s">
        <v>45</v>
      </c>
      <c r="E135" s="21">
        <v>58.3</v>
      </c>
      <c r="F135" s="21">
        <v>98.4</v>
      </c>
      <c r="G135" s="21">
        <f t="shared" si="4"/>
        <v>40.100000000000009</v>
      </c>
      <c r="H135" s="21">
        <f t="shared" si="5"/>
        <v>8.0200000000000014</v>
      </c>
      <c r="I135" s="24" t="s">
        <v>78</v>
      </c>
      <c r="J135" s="24" t="s">
        <v>79</v>
      </c>
      <c r="K135" s="24" t="s">
        <v>50</v>
      </c>
    </row>
    <row r="136" spans="1:11" ht="15.5">
      <c r="A136" s="25" t="s">
        <v>67</v>
      </c>
      <c r="B136" s="26">
        <v>1135</v>
      </c>
      <c r="C136" s="24">
        <v>8722</v>
      </c>
      <c r="D136" s="24" t="s">
        <v>51</v>
      </c>
      <c r="E136" s="21">
        <v>344</v>
      </c>
      <c r="F136" s="21">
        <v>502</v>
      </c>
      <c r="G136" s="21">
        <f t="shared" si="4"/>
        <v>158</v>
      </c>
      <c r="H136" s="21">
        <f t="shared" si="5"/>
        <v>31.6</v>
      </c>
      <c r="I136" s="24" t="s">
        <v>74</v>
      </c>
      <c r="J136" s="24" t="s">
        <v>75</v>
      </c>
      <c r="K136" s="24" t="s">
        <v>58</v>
      </c>
    </row>
    <row r="137" spans="1:11" ht="15.5">
      <c r="A137" s="25" t="s">
        <v>67</v>
      </c>
      <c r="B137" s="26">
        <v>1136</v>
      </c>
      <c r="C137" s="24">
        <v>2242</v>
      </c>
      <c r="D137" s="24" t="s">
        <v>57</v>
      </c>
      <c r="E137" s="21">
        <v>60</v>
      </c>
      <c r="F137" s="21">
        <v>124</v>
      </c>
      <c r="G137" s="21">
        <f t="shared" si="4"/>
        <v>64</v>
      </c>
      <c r="H137" s="21">
        <f t="shared" si="5"/>
        <v>12.8</v>
      </c>
      <c r="I137" s="24" t="s">
        <v>78</v>
      </c>
      <c r="J137" s="24" t="s">
        <v>79</v>
      </c>
      <c r="K137" s="24" t="s">
        <v>46</v>
      </c>
    </row>
    <row r="138" spans="1:11" ht="15.5">
      <c r="A138" s="25" t="s">
        <v>67</v>
      </c>
      <c r="B138" s="26">
        <v>1137</v>
      </c>
      <c r="C138" s="24">
        <v>9822</v>
      </c>
      <c r="D138" s="24" t="s">
        <v>45</v>
      </c>
      <c r="E138" s="21">
        <v>58.3</v>
      </c>
      <c r="F138" s="21">
        <v>98.4</v>
      </c>
      <c r="G138" s="21">
        <f t="shared" si="4"/>
        <v>40.100000000000009</v>
      </c>
      <c r="H138" s="21">
        <f t="shared" si="5"/>
        <v>8.0200000000000014</v>
      </c>
      <c r="I138" s="24" t="s">
        <v>76</v>
      </c>
      <c r="J138" s="24" t="s">
        <v>77</v>
      </c>
      <c r="K138" s="24" t="s">
        <v>48</v>
      </c>
    </row>
    <row r="139" spans="1:11" ht="15.5">
      <c r="A139" s="25" t="s">
        <v>67</v>
      </c>
      <c r="B139" s="26">
        <v>1138</v>
      </c>
      <c r="C139" s="24">
        <v>8722</v>
      </c>
      <c r="D139" s="24" t="s">
        <v>51</v>
      </c>
      <c r="E139" s="21">
        <v>344</v>
      </c>
      <c r="F139" s="21">
        <v>502</v>
      </c>
      <c r="G139" s="21">
        <f t="shared" si="4"/>
        <v>158</v>
      </c>
      <c r="H139" s="21">
        <f t="shared" si="5"/>
        <v>31.6</v>
      </c>
      <c r="I139" s="24" t="s">
        <v>74</v>
      </c>
      <c r="J139" s="24" t="s">
        <v>75</v>
      </c>
      <c r="K139" s="24" t="s">
        <v>59</v>
      </c>
    </row>
    <row r="140" spans="1:11" ht="15.5">
      <c r="A140" s="25" t="s">
        <v>67</v>
      </c>
      <c r="B140" s="26">
        <v>1139</v>
      </c>
      <c r="C140" s="24">
        <v>4421</v>
      </c>
      <c r="D140" s="24" t="s">
        <v>54</v>
      </c>
      <c r="E140" s="21">
        <v>45</v>
      </c>
      <c r="F140" s="21">
        <v>87</v>
      </c>
      <c r="G140" s="21">
        <f t="shared" si="4"/>
        <v>42</v>
      </c>
      <c r="H140" s="21">
        <f t="shared" si="5"/>
        <v>8.4</v>
      </c>
      <c r="I140" s="24" t="s">
        <v>78</v>
      </c>
      <c r="J140" s="24" t="s">
        <v>79</v>
      </c>
      <c r="K140" s="24" t="s">
        <v>48</v>
      </c>
    </row>
    <row r="141" spans="1:11" ht="15.5">
      <c r="A141" s="25" t="s">
        <v>67</v>
      </c>
      <c r="B141" s="26">
        <v>1140</v>
      </c>
      <c r="C141" s="24">
        <v>4421</v>
      </c>
      <c r="D141" s="24" t="s">
        <v>54</v>
      </c>
      <c r="E141" s="21">
        <v>45</v>
      </c>
      <c r="F141" s="21">
        <v>87</v>
      </c>
      <c r="G141" s="21">
        <f t="shared" si="4"/>
        <v>42</v>
      </c>
      <c r="H141" s="21">
        <f t="shared" si="5"/>
        <v>8.4</v>
      </c>
      <c r="I141" s="24" t="s">
        <v>76</v>
      </c>
      <c r="J141" s="24" t="s">
        <v>77</v>
      </c>
      <c r="K141" s="24" t="s">
        <v>58</v>
      </c>
    </row>
    <row r="142" spans="1:11" ht="15.5">
      <c r="A142" s="25" t="s">
        <v>67</v>
      </c>
      <c r="B142" s="26">
        <v>1141</v>
      </c>
      <c r="C142" s="24">
        <v>9212</v>
      </c>
      <c r="D142" s="24" t="s">
        <v>55</v>
      </c>
      <c r="E142" s="21">
        <v>4</v>
      </c>
      <c r="F142" s="21">
        <v>7</v>
      </c>
      <c r="G142" s="21">
        <f t="shared" si="4"/>
        <v>3</v>
      </c>
      <c r="H142" s="21">
        <f t="shared" si="5"/>
        <v>0.30000000000000004</v>
      </c>
      <c r="I142" s="24" t="s">
        <v>76</v>
      </c>
      <c r="J142" s="24" t="s">
        <v>77</v>
      </c>
      <c r="K142" s="24" t="s">
        <v>50</v>
      </c>
    </row>
    <row r="143" spans="1:11" ht="15.5">
      <c r="A143" s="25" t="s">
        <v>68</v>
      </c>
      <c r="B143" s="26">
        <v>1142</v>
      </c>
      <c r="C143" s="24">
        <v>2242</v>
      </c>
      <c r="D143" s="24" t="s">
        <v>57</v>
      </c>
      <c r="E143" s="21">
        <v>60</v>
      </c>
      <c r="F143" s="21">
        <v>124</v>
      </c>
      <c r="G143" s="21">
        <f t="shared" si="4"/>
        <v>64</v>
      </c>
      <c r="H143" s="21">
        <f t="shared" si="5"/>
        <v>12.8</v>
      </c>
      <c r="I143" s="24" t="s">
        <v>76</v>
      </c>
      <c r="J143" s="24" t="s">
        <v>77</v>
      </c>
      <c r="K143" s="24" t="s">
        <v>58</v>
      </c>
    </row>
    <row r="144" spans="1:11" ht="15.5">
      <c r="A144" s="25" t="s">
        <v>68</v>
      </c>
      <c r="B144" s="26">
        <v>1143</v>
      </c>
      <c r="C144" s="24">
        <v>9822</v>
      </c>
      <c r="D144" s="24" t="s">
        <v>45</v>
      </c>
      <c r="E144" s="21">
        <v>58.3</v>
      </c>
      <c r="F144" s="21">
        <v>98.4</v>
      </c>
      <c r="G144" s="21">
        <f t="shared" si="4"/>
        <v>40.100000000000009</v>
      </c>
      <c r="H144" s="21">
        <f t="shared" si="5"/>
        <v>8.0200000000000014</v>
      </c>
      <c r="I144" s="24" t="s">
        <v>80</v>
      </c>
      <c r="J144" s="24" t="s">
        <v>81</v>
      </c>
      <c r="K144" s="24" t="s">
        <v>50</v>
      </c>
    </row>
    <row r="145" spans="1:11" ht="15.5">
      <c r="A145" s="25" t="s">
        <v>68</v>
      </c>
      <c r="B145" s="26">
        <v>1144</v>
      </c>
      <c r="C145" s="24">
        <v>2242</v>
      </c>
      <c r="D145" s="24" t="s">
        <v>57</v>
      </c>
      <c r="E145" s="21">
        <v>60</v>
      </c>
      <c r="F145" s="21">
        <v>124</v>
      </c>
      <c r="G145" s="21">
        <f t="shared" si="4"/>
        <v>64</v>
      </c>
      <c r="H145" s="21">
        <f t="shared" si="5"/>
        <v>12.8</v>
      </c>
      <c r="I145" s="24" t="s">
        <v>80</v>
      </c>
      <c r="J145" s="24" t="s">
        <v>81</v>
      </c>
      <c r="K145" s="24" t="s">
        <v>48</v>
      </c>
    </row>
    <row r="146" spans="1:11" ht="15.5">
      <c r="A146" s="25" t="s">
        <v>68</v>
      </c>
      <c r="B146" s="26">
        <v>1145</v>
      </c>
      <c r="C146" s="24">
        <v>4421</v>
      </c>
      <c r="D146" s="24" t="s">
        <v>54</v>
      </c>
      <c r="E146" s="21">
        <v>45</v>
      </c>
      <c r="F146" s="21">
        <v>87</v>
      </c>
      <c r="G146" s="21">
        <f t="shared" si="4"/>
        <v>42</v>
      </c>
      <c r="H146" s="21">
        <f t="shared" si="5"/>
        <v>8.4</v>
      </c>
      <c r="I146" s="24" t="s">
        <v>80</v>
      </c>
      <c r="J146" s="24" t="s">
        <v>81</v>
      </c>
      <c r="K146" s="24" t="s">
        <v>46</v>
      </c>
    </row>
    <row r="147" spans="1:11" ht="15.5">
      <c r="A147" s="25" t="s">
        <v>68</v>
      </c>
      <c r="B147" s="26">
        <v>1146</v>
      </c>
      <c r="C147" s="24">
        <v>8722</v>
      </c>
      <c r="D147" s="24" t="s">
        <v>51</v>
      </c>
      <c r="E147" s="21">
        <v>344</v>
      </c>
      <c r="F147" s="21">
        <v>502</v>
      </c>
      <c r="G147" s="21">
        <f t="shared" si="4"/>
        <v>158</v>
      </c>
      <c r="H147" s="21">
        <f t="shared" si="5"/>
        <v>31.6</v>
      </c>
      <c r="I147" s="24" t="s">
        <v>80</v>
      </c>
      <c r="J147" s="24" t="s">
        <v>81</v>
      </c>
      <c r="K147" s="24" t="s">
        <v>58</v>
      </c>
    </row>
    <row r="148" spans="1:11" ht="15.5">
      <c r="A148" s="25" t="s">
        <v>68</v>
      </c>
      <c r="B148" s="26">
        <v>1147</v>
      </c>
      <c r="C148" s="24">
        <v>9822</v>
      </c>
      <c r="D148" s="24" t="s">
        <v>45</v>
      </c>
      <c r="E148" s="21">
        <v>58.3</v>
      </c>
      <c r="F148" s="21">
        <v>98.4</v>
      </c>
      <c r="G148" s="21">
        <f t="shared" si="4"/>
        <v>40.100000000000009</v>
      </c>
      <c r="H148" s="21">
        <f t="shared" si="5"/>
        <v>8.0200000000000014</v>
      </c>
      <c r="I148" s="24" t="s">
        <v>74</v>
      </c>
      <c r="J148" s="24" t="s">
        <v>75</v>
      </c>
      <c r="K148" s="24" t="s">
        <v>48</v>
      </c>
    </row>
    <row r="149" spans="1:11" ht="15.5">
      <c r="A149" s="25" t="s">
        <v>68</v>
      </c>
      <c r="B149" s="26">
        <v>1148</v>
      </c>
      <c r="C149" s="24">
        <v>9212</v>
      </c>
      <c r="D149" s="24" t="s">
        <v>55</v>
      </c>
      <c r="E149" s="21">
        <v>4</v>
      </c>
      <c r="F149" s="21">
        <v>7</v>
      </c>
      <c r="G149" s="21">
        <f t="shared" si="4"/>
        <v>3</v>
      </c>
      <c r="H149" s="21">
        <f t="shared" si="5"/>
        <v>0.30000000000000004</v>
      </c>
      <c r="I149" s="24" t="s">
        <v>78</v>
      </c>
      <c r="J149" s="24" t="s">
        <v>79</v>
      </c>
      <c r="K149" s="24" t="s">
        <v>50</v>
      </c>
    </row>
    <row r="150" spans="1:11" ht="15.5">
      <c r="A150" s="25" t="s">
        <v>68</v>
      </c>
      <c r="B150" s="26">
        <v>1149</v>
      </c>
      <c r="C150" s="24">
        <v>8722</v>
      </c>
      <c r="D150" s="24" t="s">
        <v>51</v>
      </c>
      <c r="E150" s="21">
        <v>344</v>
      </c>
      <c r="F150" s="21">
        <v>502</v>
      </c>
      <c r="G150" s="21">
        <f t="shared" si="4"/>
        <v>158</v>
      </c>
      <c r="H150" s="21">
        <f t="shared" si="5"/>
        <v>31.6</v>
      </c>
      <c r="I150" s="24" t="s">
        <v>74</v>
      </c>
      <c r="J150" s="24" t="s">
        <v>75</v>
      </c>
      <c r="K150" s="24" t="s">
        <v>50</v>
      </c>
    </row>
    <row r="151" spans="1:11" ht="15.5">
      <c r="A151" s="25" t="s">
        <v>69</v>
      </c>
      <c r="B151" s="26">
        <v>1150</v>
      </c>
      <c r="C151" s="24">
        <v>2242</v>
      </c>
      <c r="D151" s="24" t="s">
        <v>57</v>
      </c>
      <c r="E151" s="21">
        <v>60</v>
      </c>
      <c r="F151" s="21">
        <v>124</v>
      </c>
      <c r="G151" s="21">
        <f t="shared" si="4"/>
        <v>64</v>
      </c>
      <c r="H151" s="21">
        <f t="shared" si="5"/>
        <v>12.8</v>
      </c>
      <c r="I151" s="24" t="s">
        <v>78</v>
      </c>
      <c r="J151" s="24" t="s">
        <v>79</v>
      </c>
      <c r="K151" s="24" t="s">
        <v>59</v>
      </c>
    </row>
    <row r="152" spans="1:11" ht="15.5">
      <c r="A152" s="25" t="s">
        <v>69</v>
      </c>
      <c r="B152" s="26">
        <v>1151</v>
      </c>
      <c r="C152" s="24">
        <v>2242</v>
      </c>
      <c r="D152" s="24" t="s">
        <v>57</v>
      </c>
      <c r="E152" s="21">
        <v>60</v>
      </c>
      <c r="F152" s="21">
        <v>124</v>
      </c>
      <c r="G152" s="21">
        <f t="shared" si="4"/>
        <v>64</v>
      </c>
      <c r="H152" s="21">
        <f t="shared" si="5"/>
        <v>12.8</v>
      </c>
      <c r="I152" s="24" t="s">
        <v>76</v>
      </c>
      <c r="J152" s="24" t="s">
        <v>77</v>
      </c>
      <c r="K152" s="24" t="s">
        <v>48</v>
      </c>
    </row>
    <row r="153" spans="1:11" ht="15.5">
      <c r="A153" s="25" t="s">
        <v>69</v>
      </c>
      <c r="B153" s="26">
        <v>1152</v>
      </c>
      <c r="C153" s="24">
        <v>4421</v>
      </c>
      <c r="D153" s="24" t="s">
        <v>54</v>
      </c>
      <c r="E153" s="21">
        <v>45</v>
      </c>
      <c r="F153" s="21">
        <v>87</v>
      </c>
      <c r="G153" s="21">
        <f t="shared" si="4"/>
        <v>42</v>
      </c>
      <c r="H153" s="21">
        <f t="shared" si="5"/>
        <v>8.4</v>
      </c>
      <c r="I153" s="24" t="s">
        <v>74</v>
      </c>
      <c r="J153" s="24" t="s">
        <v>75</v>
      </c>
      <c r="K153" s="24" t="s">
        <v>58</v>
      </c>
    </row>
    <row r="154" spans="1:11" ht="15.5">
      <c r="A154" s="25" t="s">
        <v>69</v>
      </c>
      <c r="B154" s="26">
        <v>1153</v>
      </c>
      <c r="C154" s="24">
        <v>8722</v>
      </c>
      <c r="D154" s="24" t="s">
        <v>51</v>
      </c>
      <c r="E154" s="21">
        <v>344</v>
      </c>
      <c r="F154" s="21">
        <v>502</v>
      </c>
      <c r="G154" s="21">
        <f t="shared" si="4"/>
        <v>158</v>
      </c>
      <c r="H154" s="21">
        <f t="shared" si="5"/>
        <v>31.6</v>
      </c>
      <c r="I154" s="24" t="s">
        <v>78</v>
      </c>
      <c r="J154" s="24" t="s">
        <v>79</v>
      </c>
      <c r="K154" s="24" t="s">
        <v>50</v>
      </c>
    </row>
    <row r="155" spans="1:11" ht="15.5">
      <c r="A155" s="25" t="s">
        <v>69</v>
      </c>
      <c r="B155" s="26">
        <v>1154</v>
      </c>
      <c r="C155" s="24">
        <v>9822</v>
      </c>
      <c r="D155" s="24" t="s">
        <v>45</v>
      </c>
      <c r="E155" s="21">
        <v>58.3</v>
      </c>
      <c r="F155" s="21">
        <v>98.4</v>
      </c>
      <c r="G155" s="21">
        <f t="shared" si="4"/>
        <v>40.100000000000009</v>
      </c>
      <c r="H155" s="21">
        <f t="shared" si="5"/>
        <v>8.0200000000000014</v>
      </c>
      <c r="I155" s="24" t="s">
        <v>76</v>
      </c>
      <c r="J155" s="24" t="s">
        <v>77</v>
      </c>
      <c r="K155" s="24" t="s">
        <v>58</v>
      </c>
    </row>
    <row r="156" spans="1:11" ht="15.5">
      <c r="A156" s="25" t="s">
        <v>69</v>
      </c>
      <c r="B156" s="26">
        <v>1155</v>
      </c>
      <c r="C156" s="24">
        <v>4421</v>
      </c>
      <c r="D156" s="24" t="s">
        <v>54</v>
      </c>
      <c r="E156" s="21">
        <v>45</v>
      </c>
      <c r="F156" s="21">
        <v>87</v>
      </c>
      <c r="G156" s="21">
        <f t="shared" si="4"/>
        <v>42</v>
      </c>
      <c r="H156" s="21">
        <f t="shared" si="5"/>
        <v>8.4</v>
      </c>
      <c r="I156" s="24" t="s">
        <v>78</v>
      </c>
      <c r="J156" s="24" t="s">
        <v>79</v>
      </c>
      <c r="K156" s="24" t="s">
        <v>50</v>
      </c>
    </row>
    <row r="157" spans="1:11" ht="15.5">
      <c r="A157" s="25" t="s">
        <v>69</v>
      </c>
      <c r="B157" s="26">
        <v>1156</v>
      </c>
      <c r="C157" s="24">
        <v>2242</v>
      </c>
      <c r="D157" s="24" t="s">
        <v>57</v>
      </c>
      <c r="E157" s="21">
        <v>60</v>
      </c>
      <c r="F157" s="21">
        <v>124</v>
      </c>
      <c r="G157" s="21">
        <f t="shared" si="4"/>
        <v>64</v>
      </c>
      <c r="H157" s="21">
        <f t="shared" si="5"/>
        <v>12.8</v>
      </c>
      <c r="I157" s="24" t="s">
        <v>78</v>
      </c>
      <c r="J157" s="24" t="s">
        <v>79</v>
      </c>
      <c r="K157" s="24" t="s">
        <v>48</v>
      </c>
    </row>
    <row r="158" spans="1:11" ht="15.5">
      <c r="A158" s="25" t="s">
        <v>69</v>
      </c>
      <c r="B158" s="26">
        <v>1157</v>
      </c>
      <c r="C158" s="24">
        <v>9212</v>
      </c>
      <c r="D158" s="24" t="s">
        <v>55</v>
      </c>
      <c r="E158" s="21">
        <v>4</v>
      </c>
      <c r="F158" s="21">
        <v>7</v>
      </c>
      <c r="G158" s="21">
        <f t="shared" si="4"/>
        <v>3</v>
      </c>
      <c r="H158" s="21">
        <f t="shared" si="5"/>
        <v>0.30000000000000004</v>
      </c>
      <c r="I158" s="24" t="s">
        <v>78</v>
      </c>
      <c r="J158" s="24" t="s">
        <v>79</v>
      </c>
      <c r="K158" s="24" t="s">
        <v>46</v>
      </c>
    </row>
    <row r="159" spans="1:11" ht="15.5">
      <c r="A159" s="25" t="s">
        <v>70</v>
      </c>
      <c r="B159" s="26">
        <v>1158</v>
      </c>
      <c r="C159" s="24">
        <v>8722</v>
      </c>
      <c r="D159" s="24" t="s">
        <v>51</v>
      </c>
      <c r="E159" s="21">
        <v>344</v>
      </c>
      <c r="F159" s="21">
        <v>502</v>
      </c>
      <c r="G159" s="21">
        <f t="shared" si="4"/>
        <v>158</v>
      </c>
      <c r="H159" s="21">
        <f t="shared" si="5"/>
        <v>31.6</v>
      </c>
      <c r="I159" s="24" t="s">
        <v>74</v>
      </c>
      <c r="J159" s="24" t="s">
        <v>75</v>
      </c>
      <c r="K159" s="24" t="s">
        <v>58</v>
      </c>
    </row>
    <row r="160" spans="1:11" ht="15.5">
      <c r="A160" s="25" t="s">
        <v>70</v>
      </c>
      <c r="B160" s="26">
        <v>1159</v>
      </c>
      <c r="C160" s="24">
        <v>6622</v>
      </c>
      <c r="D160" s="24" t="s">
        <v>62</v>
      </c>
      <c r="E160" s="21">
        <v>42</v>
      </c>
      <c r="F160" s="21">
        <v>77</v>
      </c>
      <c r="G160" s="21">
        <f t="shared" si="4"/>
        <v>35</v>
      </c>
      <c r="H160" s="21">
        <f t="shared" si="5"/>
        <v>7</v>
      </c>
      <c r="I160" s="24" t="s">
        <v>78</v>
      </c>
      <c r="J160" s="24" t="s">
        <v>79</v>
      </c>
      <c r="K160" s="24" t="s">
        <v>48</v>
      </c>
    </row>
    <row r="161" spans="1:11" ht="15.5">
      <c r="A161" s="25" t="s">
        <v>70</v>
      </c>
      <c r="B161" s="26">
        <v>1160</v>
      </c>
      <c r="C161" s="24">
        <v>9822</v>
      </c>
      <c r="D161" s="24" t="s">
        <v>45</v>
      </c>
      <c r="E161" s="21">
        <v>58.3</v>
      </c>
      <c r="F161" s="21">
        <v>98.4</v>
      </c>
      <c r="G161" s="21">
        <f t="shared" si="4"/>
        <v>40.100000000000009</v>
      </c>
      <c r="H161" s="21">
        <f t="shared" si="5"/>
        <v>8.0200000000000014</v>
      </c>
      <c r="I161" s="24" t="s">
        <v>80</v>
      </c>
      <c r="J161" s="24" t="s">
        <v>81</v>
      </c>
      <c r="K161" s="24" t="s">
        <v>58</v>
      </c>
    </row>
    <row r="162" spans="1:11" ht="15.5">
      <c r="A162" s="25" t="s">
        <v>70</v>
      </c>
      <c r="B162" s="26">
        <v>1161</v>
      </c>
      <c r="C162" s="24">
        <v>4421</v>
      </c>
      <c r="D162" s="24" t="s">
        <v>54</v>
      </c>
      <c r="E162" s="21">
        <v>45</v>
      </c>
      <c r="F162" s="21">
        <v>87</v>
      </c>
      <c r="G162" s="21">
        <f t="shared" si="4"/>
        <v>42</v>
      </c>
      <c r="H162" s="21">
        <f t="shared" si="5"/>
        <v>8.4</v>
      </c>
      <c r="I162" s="24" t="s">
        <v>76</v>
      </c>
      <c r="J162" s="24" t="s">
        <v>77</v>
      </c>
      <c r="K162" s="24" t="s">
        <v>48</v>
      </c>
    </row>
    <row r="163" spans="1:11" ht="15.5">
      <c r="A163" s="25" t="s">
        <v>70</v>
      </c>
      <c r="B163" s="26">
        <v>1162</v>
      </c>
      <c r="C163" s="24">
        <v>9212</v>
      </c>
      <c r="D163" s="24" t="s">
        <v>55</v>
      </c>
      <c r="E163" s="21">
        <v>4</v>
      </c>
      <c r="F163" s="21">
        <v>7</v>
      </c>
      <c r="G163" s="21">
        <f t="shared" si="4"/>
        <v>3</v>
      </c>
      <c r="H163" s="21">
        <f t="shared" si="5"/>
        <v>0.30000000000000004</v>
      </c>
      <c r="I163" s="24" t="s">
        <v>74</v>
      </c>
      <c r="J163" s="24" t="s">
        <v>75</v>
      </c>
      <c r="K163" s="24" t="s">
        <v>50</v>
      </c>
    </row>
    <row r="164" spans="1:11" ht="15.5">
      <c r="A164" s="25" t="s">
        <v>70</v>
      </c>
      <c r="B164" s="26">
        <v>1163</v>
      </c>
      <c r="C164" s="24">
        <v>9212</v>
      </c>
      <c r="D164" s="24" t="s">
        <v>55</v>
      </c>
      <c r="E164" s="21">
        <v>4</v>
      </c>
      <c r="F164" s="21">
        <v>7</v>
      </c>
      <c r="G164" s="21">
        <f t="shared" si="4"/>
        <v>3</v>
      </c>
      <c r="H164" s="21">
        <f t="shared" si="5"/>
        <v>0.30000000000000004</v>
      </c>
      <c r="I164" s="24" t="s">
        <v>78</v>
      </c>
      <c r="J164" s="24" t="s">
        <v>79</v>
      </c>
      <c r="K164" s="24" t="s">
        <v>48</v>
      </c>
    </row>
    <row r="165" spans="1:11" ht="15.5">
      <c r="A165" s="25" t="s">
        <v>70</v>
      </c>
      <c r="B165" s="26">
        <v>1164</v>
      </c>
      <c r="C165" s="24">
        <v>9822</v>
      </c>
      <c r="D165" s="24" t="s">
        <v>45</v>
      </c>
      <c r="E165" s="21">
        <v>58.3</v>
      </c>
      <c r="F165" s="21">
        <v>98.4</v>
      </c>
      <c r="G165" s="21">
        <f t="shared" si="4"/>
        <v>40.100000000000009</v>
      </c>
      <c r="H165" s="21">
        <f t="shared" si="5"/>
        <v>8.0200000000000014</v>
      </c>
      <c r="I165" s="24" t="s">
        <v>78</v>
      </c>
      <c r="J165" s="24" t="s">
        <v>79</v>
      </c>
      <c r="K165" s="24" t="s">
        <v>50</v>
      </c>
    </row>
    <row r="166" spans="1:11" ht="15.5">
      <c r="A166" s="25" t="s">
        <v>70</v>
      </c>
      <c r="B166" s="26">
        <v>1165</v>
      </c>
      <c r="C166" s="24">
        <v>9822</v>
      </c>
      <c r="D166" s="24" t="s">
        <v>45</v>
      </c>
      <c r="E166" s="21">
        <v>58.3</v>
      </c>
      <c r="F166" s="21">
        <v>98.4</v>
      </c>
      <c r="G166" s="21">
        <f t="shared" si="4"/>
        <v>40.100000000000009</v>
      </c>
      <c r="H166" s="21">
        <f t="shared" si="5"/>
        <v>8.0200000000000014</v>
      </c>
      <c r="I166" s="24" t="s">
        <v>78</v>
      </c>
      <c r="J166" s="24" t="s">
        <v>79</v>
      </c>
      <c r="K166" s="24" t="s">
        <v>50</v>
      </c>
    </row>
    <row r="167" spans="1:11" ht="15.5">
      <c r="A167" s="25" t="s">
        <v>70</v>
      </c>
      <c r="B167" s="26">
        <v>1166</v>
      </c>
      <c r="C167" s="24">
        <v>8722</v>
      </c>
      <c r="D167" s="24" t="s">
        <v>51</v>
      </c>
      <c r="E167" s="21">
        <v>344</v>
      </c>
      <c r="F167" s="21">
        <v>502</v>
      </c>
      <c r="G167" s="21">
        <f t="shared" si="4"/>
        <v>158</v>
      </c>
      <c r="H167" s="21">
        <f t="shared" si="5"/>
        <v>31.6</v>
      </c>
      <c r="I167" s="24" t="s">
        <v>78</v>
      </c>
      <c r="J167" s="24" t="s">
        <v>79</v>
      </c>
      <c r="K167" s="24" t="s">
        <v>58</v>
      </c>
    </row>
    <row r="168" spans="1:11" ht="15.5">
      <c r="A168" s="25" t="s">
        <v>71</v>
      </c>
      <c r="B168" s="26">
        <v>1167</v>
      </c>
      <c r="C168" s="24">
        <v>2242</v>
      </c>
      <c r="D168" s="24" t="s">
        <v>57</v>
      </c>
      <c r="E168" s="21">
        <v>60</v>
      </c>
      <c r="F168" s="21">
        <v>124</v>
      </c>
      <c r="G168" s="21">
        <f t="shared" si="4"/>
        <v>64</v>
      </c>
      <c r="H168" s="21">
        <f t="shared" si="5"/>
        <v>12.8</v>
      </c>
      <c r="I168" s="24" t="s">
        <v>78</v>
      </c>
      <c r="J168" s="24" t="s">
        <v>79</v>
      </c>
      <c r="K168" s="24" t="s">
        <v>46</v>
      </c>
    </row>
    <row r="169" spans="1:11" ht="15.5">
      <c r="A169" s="25" t="s">
        <v>71</v>
      </c>
      <c r="B169" s="26">
        <v>1168</v>
      </c>
      <c r="C169" s="24">
        <v>9822</v>
      </c>
      <c r="D169" s="24" t="s">
        <v>45</v>
      </c>
      <c r="E169" s="21">
        <v>58.3</v>
      </c>
      <c r="F169" s="21">
        <v>98.4</v>
      </c>
      <c r="G169" s="21">
        <f t="shared" si="4"/>
        <v>40.100000000000009</v>
      </c>
      <c r="H169" s="21">
        <f t="shared" si="5"/>
        <v>8.0200000000000014</v>
      </c>
      <c r="I169" s="24" t="s">
        <v>78</v>
      </c>
      <c r="J169" s="24" t="s">
        <v>79</v>
      </c>
      <c r="K169" s="24" t="s">
        <v>48</v>
      </c>
    </row>
    <row r="170" spans="1:11" ht="15.5">
      <c r="A170" s="25" t="s">
        <v>71</v>
      </c>
      <c r="B170" s="26">
        <v>1169</v>
      </c>
      <c r="C170" s="24">
        <v>8722</v>
      </c>
      <c r="D170" s="24" t="s">
        <v>51</v>
      </c>
      <c r="E170" s="21">
        <v>344</v>
      </c>
      <c r="F170" s="21">
        <v>502</v>
      </c>
      <c r="G170" s="21">
        <f t="shared" si="4"/>
        <v>158</v>
      </c>
      <c r="H170" s="21">
        <f t="shared" si="5"/>
        <v>31.6</v>
      </c>
      <c r="I170" s="24" t="s">
        <v>78</v>
      </c>
      <c r="J170" s="24" t="s">
        <v>79</v>
      </c>
      <c r="K170" s="24" t="s">
        <v>59</v>
      </c>
    </row>
    <row r="171" spans="1:11" ht="15.5">
      <c r="A171" s="25" t="s">
        <v>71</v>
      </c>
      <c r="B171" s="26">
        <v>1170</v>
      </c>
      <c r="C171" s="24">
        <v>4421</v>
      </c>
      <c r="D171" s="24" t="s">
        <v>54</v>
      </c>
      <c r="E171" s="21">
        <v>45</v>
      </c>
      <c r="F171" s="21">
        <v>87</v>
      </c>
      <c r="G171" s="21">
        <f t="shared" si="4"/>
        <v>42</v>
      </c>
      <c r="H171" s="21">
        <f t="shared" si="5"/>
        <v>8.4</v>
      </c>
      <c r="I171" s="24" t="s">
        <v>74</v>
      </c>
      <c r="J171" s="24" t="s">
        <v>75</v>
      </c>
      <c r="K171" s="24" t="s">
        <v>48</v>
      </c>
    </row>
    <row r="172" spans="1:11" ht="15.5">
      <c r="A172" s="25" t="s">
        <v>71</v>
      </c>
      <c r="B172" s="26">
        <v>1171</v>
      </c>
      <c r="C172" s="24">
        <v>4421</v>
      </c>
      <c r="D172" s="24" t="s">
        <v>54</v>
      </c>
      <c r="E172" s="21">
        <v>45</v>
      </c>
      <c r="F172" s="21">
        <v>87</v>
      </c>
      <c r="G172" s="21">
        <f t="shared" si="4"/>
        <v>42</v>
      </c>
      <c r="H172" s="21">
        <f t="shared" si="5"/>
        <v>8.4</v>
      </c>
      <c r="I172" s="24" t="s">
        <v>76</v>
      </c>
      <c r="J172" s="24" t="s">
        <v>77</v>
      </c>
      <c r="K172" s="24" t="s">
        <v>58</v>
      </c>
    </row>
    <row r="176" spans="1:11">
      <c r="C176" s="22" t="s">
        <v>83</v>
      </c>
      <c r="F176" s="19">
        <f>SUM(F2:F172)</f>
        <v>17100.599999999995</v>
      </c>
    </row>
    <row r="177" spans="3:6" ht="23">
      <c r="C177" s="22" t="s">
        <v>84</v>
      </c>
      <c r="F177" s="19">
        <f>SUMIF(F2:F172,"&gt;50")</f>
        <v>16078.399999999994</v>
      </c>
    </row>
    <row r="178" spans="3:6" ht="23">
      <c r="C178" s="22" t="s">
        <v>85</v>
      </c>
      <c r="F178" s="19">
        <f>SUMIF(F2:F172,"&lt;=50")</f>
        <v>1022.1999999999997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73DF4-0F37-47C7-9E0A-BD7CE8F487AD}">
  <dimension ref="A3:B8"/>
  <sheetViews>
    <sheetView workbookViewId="0">
      <selection activeCell="D7" sqref="D7"/>
    </sheetView>
  </sheetViews>
  <sheetFormatPr defaultRowHeight="11.5"/>
  <cols>
    <col min="1" max="1" width="13.7265625" bestFit="1" customWidth="1"/>
    <col min="2" max="2" width="79.90625" bestFit="1" customWidth="1"/>
    <col min="3" max="7" width="17.6328125" bestFit="1" customWidth="1"/>
  </cols>
  <sheetData>
    <row r="3" spans="1:2">
      <c r="A3" s="18" t="s">
        <v>86</v>
      </c>
      <c r="B3" t="s">
        <v>87</v>
      </c>
    </row>
    <row r="4" spans="1:2">
      <c r="A4" s="17" t="s">
        <v>74</v>
      </c>
      <c r="B4" s="19">
        <v>396.75000000000011</v>
      </c>
    </row>
    <row r="5" spans="1:2">
      <c r="A5" s="17" t="s">
        <v>78</v>
      </c>
      <c r="B5" s="19">
        <v>432.7700000000001</v>
      </c>
    </row>
    <row r="6" spans="1:2">
      <c r="A6" s="17" t="s">
        <v>80</v>
      </c>
      <c r="B6" s="19">
        <v>209.45000000000007</v>
      </c>
    </row>
    <row r="7" spans="1:2">
      <c r="A7" s="17" t="s">
        <v>76</v>
      </c>
      <c r="B7" s="19">
        <v>193.81000000000009</v>
      </c>
    </row>
    <row r="8" spans="1:2">
      <c r="A8" s="17" t="s">
        <v>16</v>
      </c>
      <c r="B8" s="19">
        <v>1232.7800000000004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Sheet2</vt:lpstr>
      <vt:lpstr>Sheet3</vt:lpstr>
      <vt:lpstr>Sheet4</vt:lpstr>
      <vt:lpstr>Sheet5</vt:lpstr>
      <vt:lpstr>Sheet4!Criteria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Menon, Hari</dc:creator>
  <cp:lastModifiedBy>sandy sanju</cp:lastModifiedBy>
  <cp:lastPrinted>2025-11-20T13:57:39Z</cp:lastPrinted>
  <dcterms:created xsi:type="dcterms:W3CDTF">2020-08-24T12:19:33Z</dcterms:created>
  <dcterms:modified xsi:type="dcterms:W3CDTF">2026-01-08T13:09:29Z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2021-08-06T12:58:35Z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ff7e6f38-8265-4a4b-8a85-88db5bcc9d20</vt:lpwstr>
  </property>
  <property fmtid="{D5CDD505-2E9C-101B-9397-08002B2CF9AE}" pid="8" name="MSIP_Label_ea60d57e-af5b-4752-ac57-3e4f28ca11dc_ContentBits">
    <vt:lpwstr>0</vt:lpwstr>
  </property>
</Properties>
</file>